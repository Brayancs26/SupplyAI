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GASES" sheetId="1" state="visible" r:id="rId1"/>
    <sheet xmlns:r="http://schemas.openxmlformats.org/officeDocument/2006/relationships" name="DATA" sheetId="2" state="hidden" r:id="rId2"/>
  </sheets>
  <definedNames>
    <definedName name="DATA">DATA!$B$2:$K$1408</definedName>
    <definedName name="DATA2">DATA!$B$2:$K$1446</definedName>
    <definedName name="TABLA">DATA!$D$2:$K$1408</definedName>
    <definedName name="TABLA2">DATA!$A$2:$K$1446</definedName>
    <definedName name="_xlnm.Print_Titles" localSheetId="0">'GASES'!$2:$8</definedName>
    <definedName name="_xlnm.Print_Area" localSheetId="0">'GASES'!$B$2:$T$59</definedName>
    <definedName name="_xlnm._FilterDatabase" localSheetId="1" hidden="1">'DATA'!$C$2:$K$1446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_-* #,##0.00_-;\-* #,##0.00_-;_-* &quot;-&quot;??_-;_-@_-"/>
    <numFmt numFmtId="166" formatCode="_-&quot;S/&quot;\ * #,##0.00_-;\-&quot;S/&quot;\ * #,##0.00_-;_-&quot;S/&quot;\ * &quot;-&quot;??_-;_-@_-"/>
    <numFmt numFmtId="167" formatCode="#,##0.0"/>
    <numFmt numFmtId="168" formatCode="#,##0.000"/>
    <numFmt numFmtId="169" formatCode="_-* #,##0.000_-;\-* #,##0.000_-;_-* &quot;-&quot;??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9"/>
    </font>
    <font>
      <name val="Arial"/>
      <family val="2"/>
      <color theme="0"/>
      <sz val="10"/>
    </font>
    <font>
      <name val="Arial"/>
      <family val="2"/>
      <b val="1"/>
      <color theme="1"/>
      <sz val="18"/>
      <u val="single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i val="1"/>
      <color theme="1"/>
      <sz val="8"/>
    </font>
    <font>
      <name val="Arial"/>
      <family val="2"/>
      <b val="1"/>
      <color theme="1"/>
      <sz val="9"/>
    </font>
    <font>
      <name val="Arial"/>
      <family val="2"/>
      <sz val="10"/>
    </font>
    <font>
      <name val="Arial"/>
      <family val="2"/>
      <color rgb="FFFFC000"/>
      <sz val="10"/>
    </font>
    <font>
      <name val="Calibri"/>
      <family val="2"/>
      <sz val="11"/>
      <scheme val="minor"/>
    </font>
    <font>
      <name val="Calibri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1" fillId="0" borderId="0"/>
    <xf numFmtId="164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" fillId="0" borderId="0"/>
    <xf numFmtId="0" fontId="12" fillId="0" borderId="0"/>
    <xf numFmtId="44" fontId="1" fillId="0" borderId="0"/>
  </cellStyleXfs>
  <cellXfs count="14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5" applyAlignment="1" pivotButton="0" quotePrefix="0" xfId="0">
      <alignment horizontal="right" vertical="center"/>
    </xf>
    <xf numFmtId="0" fontId="8" fillId="0" borderId="4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2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8" fillId="4" borderId="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8" fillId="5" borderId="5" applyAlignment="1" pivotButton="0" quotePrefix="0" xfId="0">
      <alignment vertical="center"/>
    </xf>
    <xf numFmtId="164" fontId="8" fillId="6" borderId="5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2" fillId="0" borderId="0" pivotButton="0" quotePrefix="0" xfId="0"/>
    <xf numFmtId="164" fontId="7" fillId="0" borderId="0" pivotButton="0" quotePrefix="0" xfId="1"/>
    <xf numFmtId="164" fontId="3" fillId="3" borderId="5" applyAlignment="1" pivotButton="0" quotePrefix="0" xfId="1">
      <alignment vertical="center" wrapText="1"/>
    </xf>
    <xf numFmtId="0" fontId="3" fillId="0" borderId="7" pivotButton="0" quotePrefix="0" xfId="0"/>
    <xf numFmtId="0" fontId="3" fillId="0" borderId="8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7" fillId="0" borderId="11" applyAlignment="1" pivotButton="0" quotePrefix="0" xfId="0">
      <alignment horizontal="center"/>
    </xf>
    <xf numFmtId="0" fontId="3" fillId="0" borderId="10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3" borderId="10" applyAlignment="1" pivotButton="0" quotePrefix="0" xfId="0">
      <alignment vertical="center"/>
    </xf>
    <xf numFmtId="0" fontId="3" fillId="3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2" pivotButton="0" quotePrefix="0" xfId="0"/>
    <xf numFmtId="0" fontId="3" fillId="0" borderId="13" applyAlignment="1" pivotButton="0" quotePrefix="0" xfId="0">
      <alignment horizontal="left"/>
    </xf>
    <xf numFmtId="0" fontId="3" fillId="0" borderId="13" applyAlignment="1" pivotButton="0" quotePrefix="0" xfId="0">
      <alignment horizontal="center"/>
    </xf>
    <xf numFmtId="0" fontId="3" fillId="0" borderId="13" pivotButton="0" quotePrefix="0" xfId="0"/>
    <xf numFmtId="0" fontId="7" fillId="0" borderId="13" pivotButton="0" quotePrefix="0" xfId="0"/>
    <xf numFmtId="0" fontId="3" fillId="0" borderId="14" pivotButton="0" quotePrefix="0" xfId="0"/>
    <xf numFmtId="0" fontId="3" fillId="0" borderId="11" pivotButton="0" quotePrefix="0" xfId="0"/>
    <xf numFmtId="0" fontId="3" fillId="0" borderId="15" pivotButton="0" quotePrefix="0" xfId="0"/>
    <xf numFmtId="0" fontId="11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/>
    </xf>
    <xf numFmtId="0" fontId="3" fillId="0" borderId="16" pivotButton="0" quotePrefix="0" xfId="0"/>
    <xf numFmtId="0" fontId="7" fillId="0" borderId="16" pivotButton="0" quotePrefix="0" xfId="0"/>
    <xf numFmtId="0" fontId="3" fillId="0" borderId="17" pivotButton="0" quotePrefix="0" xfId="0"/>
    <xf numFmtId="164" fontId="3" fillId="0" borderId="0" pivotButton="0" quotePrefix="0" xfId="0"/>
    <xf numFmtId="165" fontId="3" fillId="3" borderId="0" applyAlignment="1" pivotButton="0" quotePrefix="0" xfId="0">
      <alignment vertical="center"/>
    </xf>
    <xf numFmtId="164" fontId="3" fillId="0" borderId="0" pivotButton="0" quotePrefix="0" xfId="1"/>
    <xf numFmtId="0" fontId="0" fillId="0" borderId="5" applyAlignment="1" pivotButton="0" quotePrefix="0" xfId="0">
      <alignment vertical="top"/>
    </xf>
    <xf numFmtId="164" fontId="3" fillId="7" borderId="0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166" fontId="0" fillId="0" borderId="5" applyAlignment="1" pivotButton="0" quotePrefix="0" xfId="9">
      <alignment vertical="top"/>
    </xf>
    <xf numFmtId="0" fontId="0" fillId="0" borderId="2" applyAlignment="1" pivotButton="0" quotePrefix="0" xfId="0">
      <alignment vertical="top"/>
    </xf>
    <xf numFmtId="0" fontId="8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center" vertical="top"/>
    </xf>
    <xf numFmtId="0" fontId="0" fillId="0" borderId="18" applyAlignment="1" pivotButton="0" quotePrefix="0" xfId="0">
      <alignment horizontal="center"/>
    </xf>
    <xf numFmtId="0" fontId="0" fillId="0" borderId="18" applyAlignment="1" pivotButton="0" quotePrefix="0" xfId="0">
      <alignment vertical="top"/>
    </xf>
    <xf numFmtId="0" fontId="0" fillId="0" borderId="18" applyAlignment="1" pivotButton="0" quotePrefix="0" xfId="0">
      <alignment horizontal="center" vertical="top"/>
    </xf>
    <xf numFmtId="0" fontId="0" fillId="9" borderId="18" applyAlignment="1" pivotButton="0" quotePrefix="0" xfId="0">
      <alignment horizontal="center"/>
    </xf>
    <xf numFmtId="0" fontId="13" fillId="3" borderId="11" applyAlignment="1" pivotButton="0" quotePrefix="0" xfId="0">
      <alignment vertical="center"/>
    </xf>
    <xf numFmtId="167" fontId="0" fillId="0" borderId="18" applyAlignment="1" pivotButton="0" quotePrefix="0" xfId="0">
      <alignment horizontal="center" vertical="top"/>
    </xf>
    <xf numFmtId="167" fontId="0" fillId="0" borderId="5" applyAlignment="1" pivotButton="0" quotePrefix="0" xfId="0">
      <alignment horizontal="center" vertical="top"/>
    </xf>
    <xf numFmtId="0" fontId="0" fillId="8" borderId="5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0" fillId="8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left" vertical="top"/>
    </xf>
    <xf numFmtId="168" fontId="0" fillId="0" borderId="5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top"/>
    </xf>
    <xf numFmtId="14" fontId="0" fillId="0" borderId="5" applyAlignment="1" pivotButton="0" quotePrefix="0" xfId="0">
      <alignment horizontal="center" vertical="center"/>
    </xf>
    <xf numFmtId="166" fontId="0" fillId="0" borderId="0" applyAlignment="1" pivotButton="0" quotePrefix="0" xfId="9">
      <alignment horizontal="center" vertical="center"/>
    </xf>
    <xf numFmtId="166" fontId="0" fillId="8" borderId="5" applyAlignment="1" pivotButton="0" quotePrefix="0" xfId="9">
      <alignment horizontal="center" vertical="center"/>
    </xf>
    <xf numFmtId="166" fontId="0" fillId="0" borderId="5" applyAlignment="1" pivotButton="0" quotePrefix="0" xfId="9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166" fontId="0" fillId="0" borderId="5" applyAlignment="1" pivotButton="0" quotePrefix="0" xfId="9">
      <alignment horizontal="right" vertical="top"/>
    </xf>
    <xf numFmtId="0" fontId="0" fillId="8" borderId="20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/>
    </xf>
    <xf numFmtId="0" fontId="14" fillId="0" borderId="18" applyAlignment="1" pivotButton="0" quotePrefix="0" xfId="0">
      <alignment vertical="top"/>
    </xf>
    <xf numFmtId="0" fontId="14" fillId="0" borderId="18" applyAlignment="1" pivotButton="0" quotePrefix="0" xfId="0">
      <alignment horizontal="center" vertical="top"/>
    </xf>
    <xf numFmtId="167" fontId="14" fillId="0" borderId="18" applyAlignment="1" pivotButton="0" quotePrefix="0" xfId="0">
      <alignment horizontal="center" vertical="top"/>
    </xf>
    <xf numFmtId="2" fontId="14" fillId="0" borderId="3" applyAlignment="1" pivotButton="0" quotePrefix="0" xfId="0">
      <alignment horizontal="center" vertical="top"/>
    </xf>
    <xf numFmtId="0" fontId="14" fillId="0" borderId="5" applyAlignment="1" pivotButton="0" quotePrefix="0" xfId="0">
      <alignment horizontal="center" vertical="top"/>
    </xf>
    <xf numFmtId="166" fontId="9" fillId="3" borderId="5" applyAlignment="1" pivotButton="0" quotePrefix="0" xfId="9">
      <alignment vertical="center"/>
    </xf>
    <xf numFmtId="169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3" fillId="0" borderId="5" applyAlignment="1" pivotButton="0" quotePrefix="0" xfId="9">
      <alignment horizontal="center" vertical="center"/>
    </xf>
    <xf numFmtId="166" fontId="3" fillId="0" borderId="5" applyAlignment="1" pivotButton="0" quotePrefix="0" xfId="9">
      <alignment vertical="center"/>
    </xf>
    <xf numFmtId="166" fontId="9" fillId="3" borderId="5" applyAlignment="1" pivotButton="0" quotePrefix="0" xfId="9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wrapText="1"/>
    </xf>
    <xf numFmtId="0" fontId="13" fillId="3" borderId="19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169" fontId="8" fillId="10" borderId="21" applyAlignment="1" pivotButton="0" quotePrefix="0" xfId="0">
      <alignment horizontal="center" vertical="center" wrapText="1"/>
    </xf>
    <xf numFmtId="169" fontId="8" fillId="10" borderId="22" applyAlignment="1" pivotButton="0" quotePrefix="0" xfId="0">
      <alignment horizontal="center" vertical="center" wrapText="1"/>
    </xf>
    <xf numFmtId="166" fontId="8" fillId="0" borderId="21" applyAlignment="1" pivotButton="0" quotePrefix="0" xfId="9">
      <alignment horizontal="center" vertical="center"/>
    </xf>
    <xf numFmtId="166" fontId="8" fillId="0" borderId="23" applyAlignment="1" pivotButton="0" quotePrefix="0" xfId="9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0" borderId="5" applyAlignment="1" pivotButton="0" quotePrefix="0" xfId="0">
      <alignment horizontal="center" vertical="center" wrapText="1"/>
    </xf>
    <xf numFmtId="0" fontId="0" fillId="0" borderId="4" pivotButton="0" quotePrefix="0" xfId="0"/>
    <xf numFmtId="14" fontId="8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166" fontId="9" fillId="3" borderId="5" applyAlignment="1" pivotButton="0" quotePrefix="0" xfId="9">
      <alignment vertical="center"/>
    </xf>
    <xf numFmtId="166" fontId="9" fillId="3" borderId="5" applyAlignment="1" pivotButton="0" quotePrefix="0" xfId="9">
      <alignment horizontal="center" vertical="center"/>
    </xf>
    <xf numFmtId="165" fontId="3" fillId="3" borderId="0" applyAlignment="1" pivotButton="0" quotePrefix="0" xfId="0">
      <alignment vertical="center"/>
    </xf>
    <xf numFmtId="0" fontId="13" fillId="3" borderId="26" applyAlignment="1" pivotButton="0" quotePrefix="0" xfId="0">
      <alignment horizontal="center" vertical="center" wrapText="1"/>
    </xf>
    <xf numFmtId="0" fontId="0" fillId="0" borderId="1" pivotButton="0" quotePrefix="0" xfId="0"/>
    <xf numFmtId="169" fontId="8" fillId="10" borderId="27" applyAlignment="1" pivotButton="0" quotePrefix="0" xfId="0">
      <alignment horizontal="center" vertical="center" wrapText="1"/>
    </xf>
    <xf numFmtId="166" fontId="8" fillId="0" borderId="21" applyAlignment="1" pivotButton="0" quotePrefix="0" xfId="9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9" fontId="3" fillId="0" borderId="0" applyAlignment="1" pivotButton="0" quotePrefix="0" xfId="0">
      <alignment horizontal="center" vertical="center" wrapText="1"/>
    </xf>
    <xf numFmtId="166" fontId="3" fillId="0" borderId="5" applyAlignment="1" pivotButton="0" quotePrefix="0" xfId="9">
      <alignment horizontal="center" vertical="center"/>
    </xf>
    <xf numFmtId="166" fontId="3" fillId="0" borderId="5" applyAlignment="1" pivotButton="0" quotePrefix="0" xfId="9">
      <alignment vertical="center"/>
    </xf>
    <xf numFmtId="166" fontId="0" fillId="0" borderId="0" applyAlignment="1" pivotButton="0" quotePrefix="0" xfId="9">
      <alignment horizontal="center" vertical="center"/>
    </xf>
    <xf numFmtId="166" fontId="0" fillId="8" borderId="5" applyAlignment="1" pivotButton="0" quotePrefix="0" xfId="9">
      <alignment horizontal="center" vertical="center"/>
    </xf>
    <xf numFmtId="166" fontId="0" fillId="0" borderId="5" applyAlignment="1" pivotButton="0" quotePrefix="0" xfId="9">
      <alignment horizontal="center" vertical="center"/>
    </xf>
    <xf numFmtId="166" fontId="0" fillId="0" borderId="5" applyAlignment="1" pivotButton="0" quotePrefix="0" xfId="9">
      <alignment vertical="top"/>
    </xf>
    <xf numFmtId="168" fontId="0" fillId="0" borderId="5" applyAlignment="1" pivotButton="0" quotePrefix="0" xfId="0">
      <alignment horizontal="left" vertical="top"/>
    </xf>
    <xf numFmtId="166" fontId="0" fillId="0" borderId="5" applyAlignment="1" pivotButton="0" quotePrefix="0" xfId="9">
      <alignment horizontal="right" vertical="top"/>
    </xf>
  </cellXfs>
  <cellStyles count="10">
    <cellStyle name="Normal" xfId="0" builtinId="0"/>
    <cellStyle name="Millares" xfId="1" builtinId="3"/>
    <cellStyle name="Normal 2" xfId="2"/>
    <cellStyle name="Normal 4" xfId="3"/>
    <cellStyle name="Normal 5" xfId="4"/>
    <cellStyle name="Normal 6" xfId="5"/>
    <cellStyle name="Normal 7" xfId="6"/>
    <cellStyle name="Millares 2" xfId="7"/>
    <cellStyle name="Normal 13" xfId="8"/>
    <cellStyle name="Moneda" xfId="9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A60"/>
  <sheetViews>
    <sheetView showGridLines="0" tabSelected="1" view="pageBreakPreview" zoomScale="70" zoomScaleNormal="70" zoomScaleSheetLayoutView="70" workbookViewId="0">
      <selection activeCell="J6" sqref="J6"/>
    </sheetView>
  </sheetViews>
  <sheetFormatPr baseColWidth="10" defaultColWidth="11.453125" defaultRowHeight="12.5"/>
  <cols>
    <col width="1.54296875" customWidth="1" style="1" min="1" max="1"/>
    <col width="2.453125" customWidth="1" style="1" min="2" max="2"/>
    <col width="8.7265625" customWidth="1" style="4" min="3" max="3"/>
    <col width="9.1796875" customWidth="1" style="4" min="4" max="4"/>
    <col width="16.26953125" customWidth="1" style="4" min="5" max="5"/>
    <col width="12.81640625" customWidth="1" style="4" min="6" max="6"/>
    <col width="48.1796875" customWidth="1" style="1" min="7" max="7"/>
    <col width="7.1796875" customWidth="1" style="1" min="8" max="8"/>
    <col width="12.453125" customWidth="1" style="4" min="9" max="9"/>
    <col width="17.453125" bestFit="1" customWidth="1" style="4" min="10" max="10"/>
    <col width="9.1796875" customWidth="1" style="4" min="11" max="11"/>
    <col width="17.453125" bestFit="1" customWidth="1" style="1" min="12" max="12"/>
    <col width="12.81640625" customWidth="1" style="1" min="13" max="13"/>
    <col width="13.81640625" customWidth="1" style="1" min="14" max="15"/>
    <col width="13.7265625" customWidth="1" style="1" min="16" max="16"/>
    <col width="5.81640625" customWidth="1" style="1" min="17" max="17"/>
    <col width="18.453125" customWidth="1" style="1" min="18" max="18"/>
    <col width="19.453125" customWidth="1" style="1" min="19" max="19"/>
    <col width="6.36328125" customWidth="1" style="1" min="20" max="20"/>
    <col width="2.7265625" customWidth="1" style="1" min="21" max="21"/>
    <col width="11.453125" customWidth="1" style="1" min="22" max="16384"/>
  </cols>
  <sheetData>
    <row r="1" ht="13" customHeight="1" thickBot="1"/>
    <row r="2">
      <c r="B2" s="28" t="n"/>
      <c r="C2" s="29" t="n"/>
      <c r="D2" s="29" t="n"/>
      <c r="E2" s="29" t="n"/>
      <c r="F2" s="29" t="n"/>
      <c r="G2" s="30" t="n"/>
      <c r="H2" s="30" t="n"/>
      <c r="I2" s="29" t="n"/>
      <c r="J2" s="29" t="n"/>
      <c r="K2" s="29" t="n"/>
      <c r="L2" s="30" t="n"/>
      <c r="M2" s="30" t="n"/>
      <c r="N2" s="30" t="n"/>
      <c r="O2" s="30" t="n"/>
      <c r="P2" s="30" t="n"/>
      <c r="Q2" s="30" t="n"/>
      <c r="R2" s="30" t="n"/>
      <c r="S2" s="30" t="n"/>
      <c r="T2" s="31" t="n"/>
      <c r="Z2" s="2" t="n"/>
      <c r="AA2" s="3" t="n"/>
    </row>
    <row r="3" ht="23" customHeight="1">
      <c r="B3" s="32" t="n"/>
      <c r="D3" s="5" t="n"/>
      <c r="E3" s="5" t="n"/>
      <c r="F3" s="5" t="n"/>
      <c r="H3" s="5" t="inlineStr">
        <is>
          <t>LISTADO FINAL  Y DESCARGO DE DIFERENCIAS DE INVENTARIO ALMACENES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33" t="n"/>
      <c r="Z3" s="2" t="n"/>
      <c r="AA3" s="3" t="n"/>
    </row>
    <row r="4" ht="13" customHeight="1">
      <c r="B4" s="32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7" t="n"/>
      <c r="T4" s="33" t="n"/>
      <c r="V4" s="63" t="n"/>
      <c r="W4" s="63" t="n"/>
      <c r="X4" s="63" t="n"/>
      <c r="Y4" s="63" t="n"/>
      <c r="Z4" s="63" t="n"/>
      <c r="AA4" s="3" t="n"/>
    </row>
    <row r="5" ht="28.5" customFormat="1" customHeight="1" s="63">
      <c r="B5" s="34" t="n"/>
      <c r="C5" s="119" t="inlineStr">
        <is>
          <t>Responsable:</t>
        </is>
      </c>
      <c r="D5" s="120" t="n"/>
      <c r="E5" s="121" t="inlineStr">
        <is>
          <t>Brayan Cardenas Silva</t>
        </is>
      </c>
      <c r="F5" s="122" t="n"/>
      <c r="G5" s="120" t="n"/>
      <c r="I5" s="64" t="n"/>
      <c r="J5" s="64" t="n"/>
      <c r="K5" s="13" t="n"/>
      <c r="L5" s="8" t="inlineStr">
        <is>
          <t>Planta:</t>
        </is>
      </c>
      <c r="M5" s="9" t="inlineStr">
        <is>
          <t>MATARANI</t>
        </is>
      </c>
      <c r="N5" s="9" t="n"/>
      <c r="O5" s="9" t="n"/>
      <c r="P5" s="10" t="n"/>
      <c r="Q5" s="64" t="n"/>
      <c r="R5" s="64" t="n"/>
      <c r="S5" s="7" t="n"/>
      <c r="T5" s="35" t="n"/>
      <c r="W5" s="63" t="inlineStr">
        <is>
          <t xml:space="preserve"> </t>
        </is>
      </c>
    </row>
    <row r="6" ht="28.5" customFormat="1" customHeight="1" s="63">
      <c r="B6" s="34" t="n"/>
      <c r="C6" s="119" t="inlineStr">
        <is>
          <t>Fecha:</t>
        </is>
      </c>
      <c r="D6" s="120" t="n"/>
      <c r="E6" s="123" t="n"/>
      <c r="F6" s="122" t="n"/>
      <c r="G6" s="120" t="n"/>
      <c r="H6" s="64" t="n"/>
      <c r="I6" s="64" t="n"/>
      <c r="J6" s="64" t="n"/>
      <c r="K6" s="13" t="n"/>
      <c r="L6" s="8" t="inlineStr">
        <is>
          <t>Almacén</t>
        </is>
      </c>
      <c r="M6" s="10" t="inlineStr">
        <is>
          <t>L001 Y L004</t>
        </is>
      </c>
      <c r="N6" s="62" t="inlineStr">
        <is>
          <t>Moneda:</t>
        </is>
      </c>
      <c r="O6" s="62" t="inlineStr">
        <is>
          <t>S/</t>
        </is>
      </c>
      <c r="P6" s="62" t="inlineStr">
        <is>
          <t>Nuevos soles</t>
        </is>
      </c>
      <c r="Q6" s="64" t="n"/>
      <c r="R6" s="65" t="inlineStr">
        <is>
          <t xml:space="preserve"> </t>
        </is>
      </c>
      <c r="S6" s="7" t="n"/>
      <c r="T6" s="35" t="n"/>
    </row>
    <row r="7" ht="30.75" customHeight="1">
      <c r="B7" s="32" t="n"/>
      <c r="N7" s="1" t="inlineStr">
        <is>
          <t xml:space="preserve"> </t>
        </is>
      </c>
      <c r="Q7" s="7" t="n"/>
      <c r="R7" s="108" t="n"/>
      <c r="S7" s="124" t="n"/>
      <c r="T7" s="33" t="n"/>
    </row>
    <row r="8" ht="45" customFormat="1" customHeight="1" s="13">
      <c r="B8" s="36" t="n"/>
      <c r="C8" s="11" t="inlineStr">
        <is>
          <t>Centro</t>
        </is>
      </c>
      <c r="D8" s="11" t="inlineStr">
        <is>
          <t>Almacen</t>
        </is>
      </c>
      <c r="E8" s="11" t="inlineStr">
        <is>
          <t>Ubicación</t>
        </is>
      </c>
      <c r="F8" s="11" t="inlineStr">
        <is>
          <t>Material</t>
        </is>
      </c>
      <c r="G8" s="11" t="inlineStr">
        <is>
          <t>Descripcion</t>
        </is>
      </c>
      <c r="H8" s="11" t="inlineStr">
        <is>
          <t>UMB</t>
        </is>
      </c>
      <c r="I8" s="12" t="inlineStr">
        <is>
          <t>Cantidad
SAP</t>
        </is>
      </c>
      <c r="J8" s="12" t="inlineStr">
        <is>
          <t>Lote SAP</t>
        </is>
      </c>
      <c r="K8" s="12" t="inlineStr">
        <is>
          <t>Cantidad 
Fisico</t>
        </is>
      </c>
      <c r="L8" s="12" t="inlineStr">
        <is>
          <t>Lote Fisico</t>
        </is>
      </c>
      <c r="M8" s="12" t="inlineStr">
        <is>
          <t>Dif.
Cantidad</t>
        </is>
      </c>
      <c r="N8" s="12" t="inlineStr">
        <is>
          <t>Costo
Unitario</t>
        </is>
      </c>
      <c r="O8" s="12" t="inlineStr">
        <is>
          <t>COSTO TOTAL</t>
        </is>
      </c>
      <c r="P8" s="12" t="inlineStr">
        <is>
          <t>Diferencia
Valorizada</t>
        </is>
      </c>
      <c r="Q8" s="7" t="n"/>
      <c r="R8" s="12" t="inlineStr">
        <is>
          <t>Descargo</t>
        </is>
      </c>
      <c r="S8" s="12" t="inlineStr">
        <is>
          <t>Recomendación</t>
        </is>
      </c>
      <c r="T8" s="37" t="n"/>
    </row>
    <row r="9" ht="13.5" customFormat="1" customHeight="1" s="16">
      <c r="B9" s="38" t="n"/>
      <c r="C9" s="68" t="n"/>
      <c r="D9" s="69" t="n"/>
      <c r="E9" s="70" t="n"/>
      <c r="F9" s="70" t="n"/>
      <c r="G9" s="69" t="n"/>
      <c r="H9" s="69" t="n"/>
      <c r="I9" s="73" t="n"/>
      <c r="J9" s="70" t="n"/>
      <c r="K9" s="73" t="n"/>
      <c r="L9" s="67" t="n"/>
      <c r="M9" s="98">
        <f>+K9-I9</f>
        <v/>
      </c>
      <c r="N9" s="125" t="n"/>
      <c r="O9" s="125">
        <f>+K9*N9</f>
        <v/>
      </c>
      <c r="P9" s="126" t="inlineStr">
        <is>
          <t>-</t>
        </is>
      </c>
      <c r="Q9" s="27" t="n"/>
      <c r="R9" s="14" t="n"/>
      <c r="S9" s="15" t="n"/>
      <c r="T9" s="39" t="n"/>
      <c r="V9" s="127" t="n"/>
    </row>
    <row r="10" ht="13.5" customFormat="1" customHeight="1" s="16">
      <c r="B10" s="38" t="n"/>
      <c r="C10" s="94" t="n"/>
      <c r="D10" s="95" t="n"/>
      <c r="E10" s="96" t="n"/>
      <c r="F10" s="96" t="n"/>
      <c r="G10" s="95" t="n"/>
      <c r="H10" s="95" t="n"/>
      <c r="I10" s="97" t="n"/>
      <c r="J10" s="96" t="n"/>
      <c r="K10" s="97" t="n"/>
      <c r="L10" s="99" t="n"/>
      <c r="M10" s="98">
        <f>+K10-I10</f>
        <v/>
      </c>
      <c r="N10" s="125" t="n"/>
      <c r="O10" s="125">
        <f>+K10*N10</f>
        <v/>
      </c>
      <c r="P10" s="126" t="inlineStr">
        <is>
          <t>-</t>
        </is>
      </c>
      <c r="Q10" s="27" t="n"/>
      <c r="R10" s="14" t="n"/>
      <c r="S10" s="15" t="n"/>
      <c r="T10" s="39" t="n"/>
      <c r="V10" s="127" t="n"/>
    </row>
    <row r="11" ht="13.5" customFormat="1" customHeight="1" s="16">
      <c r="B11" s="38" t="n"/>
      <c r="C11" s="68" t="n"/>
      <c r="D11" s="69" t="n"/>
      <c r="E11" s="70" t="n"/>
      <c r="F11" s="70" t="n"/>
      <c r="G11" s="69" t="n"/>
      <c r="H11" s="69" t="n"/>
      <c r="I11" s="73" t="n"/>
      <c r="J11" s="70" t="n"/>
      <c r="K11" s="73" t="n"/>
      <c r="L11" s="67" t="n"/>
      <c r="M11" s="98">
        <f>+K11-I11</f>
        <v/>
      </c>
      <c r="N11" s="125" t="n"/>
      <c r="O11" s="125">
        <f>+K11*N11</f>
        <v/>
      </c>
      <c r="P11" s="126" t="inlineStr">
        <is>
          <t>-</t>
        </is>
      </c>
      <c r="Q11" s="27" t="n"/>
      <c r="R11" s="14" t="n"/>
      <c r="S11" s="15" t="n"/>
      <c r="T11" s="39" t="n"/>
      <c r="V11" s="127" t="n"/>
    </row>
    <row r="12" ht="13.5" customFormat="1" customHeight="1" s="16">
      <c r="B12" s="38" t="n"/>
      <c r="C12" s="68" t="n"/>
      <c r="D12" s="69" t="n"/>
      <c r="E12" s="70" t="n"/>
      <c r="F12" s="70" t="n"/>
      <c r="G12" s="69" t="n"/>
      <c r="H12" s="69" t="n"/>
      <c r="I12" s="73" t="n"/>
      <c r="J12" s="70" t="n"/>
      <c r="K12" s="73" t="n"/>
      <c r="L12" s="67" t="n"/>
      <c r="M12" s="98">
        <f>+K12-I12</f>
        <v/>
      </c>
      <c r="N12" s="125" t="n"/>
      <c r="O12" s="125">
        <f>+K12*N12</f>
        <v/>
      </c>
      <c r="P12" s="126" t="inlineStr">
        <is>
          <t>-</t>
        </is>
      </c>
      <c r="Q12" s="27" t="n"/>
      <c r="R12" s="14" t="n"/>
      <c r="S12" s="15" t="n"/>
      <c r="T12" s="39" t="n"/>
      <c r="V12" s="127" t="n"/>
    </row>
    <row r="13" ht="13.5" customFormat="1" customHeight="1" s="16">
      <c r="B13" s="38" t="n"/>
      <c r="C13" s="68" t="n"/>
      <c r="D13" s="69" t="n"/>
      <c r="E13" s="70" t="n"/>
      <c r="F13" s="70" t="n"/>
      <c r="G13" s="69" t="n"/>
      <c r="H13" s="69" t="n"/>
      <c r="I13" s="73" t="n"/>
      <c r="J13" s="70" t="n"/>
      <c r="K13" s="73" t="n"/>
      <c r="L13" s="67" t="n"/>
      <c r="M13" s="98">
        <f>+K13-I13</f>
        <v/>
      </c>
      <c r="N13" s="125" t="n"/>
      <c r="O13" s="125">
        <f>+K13*N13</f>
        <v/>
      </c>
      <c r="P13" s="126" t="inlineStr">
        <is>
          <t>-</t>
        </is>
      </c>
      <c r="Q13" s="27" t="n"/>
      <c r="R13" s="14" t="n"/>
      <c r="S13" s="15" t="n"/>
      <c r="T13" s="39" t="n"/>
      <c r="V13" s="127" t="n"/>
    </row>
    <row r="14" ht="13.5" customFormat="1" customHeight="1" s="16">
      <c r="B14" s="38" t="n"/>
      <c r="C14" s="68" t="n"/>
      <c r="D14" s="69" t="n"/>
      <c r="E14" s="70" t="n"/>
      <c r="F14" s="70" t="n"/>
      <c r="G14" s="69" t="n"/>
      <c r="H14" s="69" t="n"/>
      <c r="I14" s="73" t="n"/>
      <c r="J14" s="70" t="n"/>
      <c r="K14" s="73" t="n"/>
      <c r="L14" s="67" t="n"/>
      <c r="M14" s="98">
        <f>+K14-I14</f>
        <v/>
      </c>
      <c r="N14" s="125" t="n"/>
      <c r="O14" s="125">
        <f>+K14*N14</f>
        <v/>
      </c>
      <c r="P14" s="126" t="inlineStr">
        <is>
          <t>-</t>
        </is>
      </c>
      <c r="Q14" s="27" t="n"/>
      <c r="R14" s="14" t="n"/>
      <c r="S14" s="15" t="n"/>
      <c r="T14" s="39" t="n"/>
      <c r="V14" s="127" t="n"/>
    </row>
    <row r="15" ht="13.5" customFormat="1" customHeight="1" s="16">
      <c r="B15" s="38" t="n"/>
      <c r="C15" s="68" t="n"/>
      <c r="D15" s="69" t="n"/>
      <c r="E15" s="70" t="n"/>
      <c r="F15" s="70" t="n"/>
      <c r="G15" s="69" t="n"/>
      <c r="H15" s="69" t="n"/>
      <c r="I15" s="73" t="n"/>
      <c r="J15" s="70" t="n"/>
      <c r="K15" s="73" t="n"/>
      <c r="L15" s="67" t="n"/>
      <c r="M15" s="98">
        <f>+K15-I15</f>
        <v/>
      </c>
      <c r="N15" s="125" t="n"/>
      <c r="O15" s="125">
        <f>+K15*N15</f>
        <v/>
      </c>
      <c r="P15" s="126" t="inlineStr">
        <is>
          <t>-</t>
        </is>
      </c>
      <c r="Q15" s="27" t="n"/>
      <c r="R15" s="14" t="n"/>
      <c r="S15" s="15" t="n"/>
      <c r="T15" s="39" t="n"/>
      <c r="V15" s="127" t="n"/>
    </row>
    <row r="16" ht="13.5" customFormat="1" customHeight="1" s="16">
      <c r="B16" s="38" t="n"/>
      <c r="C16" s="68" t="n"/>
      <c r="D16" s="69" t="n"/>
      <c r="E16" s="70" t="n"/>
      <c r="F16" s="70" t="n"/>
      <c r="G16" s="69" t="n"/>
      <c r="H16" s="69" t="n"/>
      <c r="I16" s="73" t="n"/>
      <c r="J16" s="70" t="n"/>
      <c r="K16" s="73" t="n"/>
      <c r="L16" s="67" t="n"/>
      <c r="M16" s="98">
        <f>+K16-I16</f>
        <v/>
      </c>
      <c r="N16" s="125" t="n"/>
      <c r="O16" s="125">
        <f>+K16*N16</f>
        <v/>
      </c>
      <c r="P16" s="126" t="inlineStr">
        <is>
          <t>-</t>
        </is>
      </c>
      <c r="Q16" s="27" t="n"/>
      <c r="R16" s="14" t="n"/>
      <c r="S16" s="15" t="n"/>
      <c r="T16" s="39" t="n"/>
      <c r="V16" s="127" t="n"/>
    </row>
    <row r="17" ht="13.5" customFormat="1" customHeight="1" s="16">
      <c r="B17" s="38" t="n"/>
      <c r="C17" s="68" t="n"/>
      <c r="D17" s="69" t="n"/>
      <c r="E17" s="70" t="n"/>
      <c r="F17" s="70" t="n"/>
      <c r="G17" s="69" t="n"/>
      <c r="H17" s="69" t="n"/>
      <c r="I17" s="73" t="n"/>
      <c r="J17" s="70" t="n"/>
      <c r="K17" s="73" t="n"/>
      <c r="L17" s="67" t="n"/>
      <c r="M17" s="98">
        <f>+K17-I17</f>
        <v/>
      </c>
      <c r="N17" s="125" t="n"/>
      <c r="O17" s="125">
        <f>+K17*N17</f>
        <v/>
      </c>
      <c r="P17" s="126" t="inlineStr">
        <is>
          <t>-</t>
        </is>
      </c>
      <c r="Q17" s="27" t="n"/>
      <c r="R17" s="14" t="n"/>
      <c r="S17" s="15" t="n"/>
      <c r="T17" s="39" t="n"/>
      <c r="V17" s="127" t="n"/>
    </row>
    <row r="18" ht="13.5" customFormat="1" customHeight="1" s="16">
      <c r="B18" s="38" t="n"/>
      <c r="C18" s="68" t="n"/>
      <c r="D18" s="69" t="n"/>
      <c r="E18" s="70" t="n"/>
      <c r="F18" s="70" t="n"/>
      <c r="G18" s="69" t="n"/>
      <c r="H18" s="69" t="n"/>
      <c r="I18" s="73" t="n"/>
      <c r="J18" s="70" t="n"/>
      <c r="K18" s="73" t="n"/>
      <c r="L18" s="67" t="n"/>
      <c r="M18" s="98">
        <f>+K18-I18</f>
        <v/>
      </c>
      <c r="N18" s="125" t="n"/>
      <c r="O18" s="125">
        <f>+K18*N18</f>
        <v/>
      </c>
      <c r="P18" s="126" t="inlineStr">
        <is>
          <t>-</t>
        </is>
      </c>
      <c r="Q18" s="27" t="n"/>
      <c r="R18" s="14" t="n"/>
      <c r="S18" s="15" t="n"/>
      <c r="T18" s="39" t="n"/>
      <c r="V18" s="127" t="n"/>
    </row>
    <row r="19" ht="13.5" customFormat="1" customHeight="1" s="16">
      <c r="B19" s="38" t="n"/>
      <c r="C19" s="68" t="n"/>
      <c r="D19" s="69" t="n"/>
      <c r="E19" s="70" t="n"/>
      <c r="F19" s="70" t="n"/>
      <c r="G19" s="69" t="n"/>
      <c r="H19" s="69" t="n"/>
      <c r="I19" s="73" t="n"/>
      <c r="J19" s="70" t="n"/>
      <c r="K19" s="73" t="n"/>
      <c r="L19" s="67" t="n"/>
      <c r="M19" s="98">
        <f>+K19-I19</f>
        <v/>
      </c>
      <c r="N19" s="125" t="n"/>
      <c r="O19" s="125">
        <f>+K19*N19</f>
        <v/>
      </c>
      <c r="P19" s="126" t="inlineStr">
        <is>
          <t>-</t>
        </is>
      </c>
      <c r="Q19" s="27" t="n"/>
      <c r="R19" s="14" t="n"/>
      <c r="S19" s="15" t="n"/>
      <c r="T19" s="39" t="n"/>
      <c r="V19" s="127" t="n"/>
    </row>
    <row r="20" ht="13.5" customFormat="1" customHeight="1" s="16">
      <c r="B20" s="38" t="n"/>
      <c r="C20" s="68" t="n"/>
      <c r="D20" s="69" t="n"/>
      <c r="E20" s="70" t="n"/>
      <c r="F20" s="70" t="n"/>
      <c r="G20" s="69" t="n"/>
      <c r="H20" s="69" t="n"/>
      <c r="I20" s="73" t="n"/>
      <c r="J20" s="70" t="n"/>
      <c r="K20" s="73" t="n"/>
      <c r="L20" s="67" t="n"/>
      <c r="M20" s="98">
        <f>+K20-I20</f>
        <v/>
      </c>
      <c r="N20" s="125" t="n"/>
      <c r="O20" s="125">
        <f>+K20*N20</f>
        <v/>
      </c>
      <c r="P20" s="126" t="inlineStr">
        <is>
          <t>-</t>
        </is>
      </c>
      <c r="Q20" s="27" t="n"/>
      <c r="R20" s="14" t="n"/>
      <c r="S20" s="15" t="n"/>
      <c r="T20" s="39" t="n"/>
      <c r="V20" s="127" t="n"/>
    </row>
    <row r="21" ht="13.5" customFormat="1" customHeight="1" s="16">
      <c r="B21" s="38" t="n"/>
      <c r="C21" s="68" t="n"/>
      <c r="D21" s="69" t="n"/>
      <c r="E21" s="70" t="n"/>
      <c r="F21" s="70" t="n"/>
      <c r="G21" s="69" t="n"/>
      <c r="H21" s="69" t="n"/>
      <c r="I21" s="73" t="n"/>
      <c r="J21" s="70" t="n"/>
      <c r="K21" s="73" t="n"/>
      <c r="L21" s="67" t="n"/>
      <c r="M21" s="98">
        <f>+K21-I21</f>
        <v/>
      </c>
      <c r="N21" s="125" t="n"/>
      <c r="O21" s="125">
        <f>+K21*N21</f>
        <v/>
      </c>
      <c r="P21" s="126" t="inlineStr">
        <is>
          <t>-</t>
        </is>
      </c>
      <c r="Q21" s="27" t="n"/>
      <c r="R21" s="14" t="n"/>
      <c r="S21" s="15" t="n"/>
      <c r="T21" s="39" t="n"/>
      <c r="V21" s="127" t="n"/>
    </row>
    <row r="22" ht="13.5" customFormat="1" customHeight="1" s="16">
      <c r="B22" s="38" t="n"/>
      <c r="C22" s="68" t="n"/>
      <c r="D22" s="69" t="n"/>
      <c r="E22" s="70" t="n"/>
      <c r="F22" s="70" t="n"/>
      <c r="G22" s="69" t="n"/>
      <c r="H22" s="69" t="n"/>
      <c r="I22" s="73" t="n"/>
      <c r="J22" s="70" t="n"/>
      <c r="K22" s="73" t="n"/>
      <c r="L22" s="67" t="n"/>
      <c r="M22" s="98">
        <f>+K22-I22</f>
        <v/>
      </c>
      <c r="N22" s="125" t="n"/>
      <c r="O22" s="125">
        <f>+K22*N22</f>
        <v/>
      </c>
      <c r="P22" s="126" t="inlineStr">
        <is>
          <t>-</t>
        </is>
      </c>
      <c r="Q22" s="27" t="n"/>
      <c r="R22" s="14" t="n"/>
      <c r="S22" s="15" t="n"/>
      <c r="T22" s="39" t="n"/>
      <c r="V22" s="127" t="n"/>
    </row>
    <row r="23" ht="13.5" customFormat="1" customHeight="1" s="16">
      <c r="B23" s="38" t="n"/>
      <c r="C23" s="68" t="n"/>
      <c r="D23" s="69" t="n"/>
      <c r="E23" s="70" t="n"/>
      <c r="F23" s="70" t="n"/>
      <c r="G23" s="69" t="n"/>
      <c r="H23" s="69" t="n"/>
      <c r="I23" s="73" t="n"/>
      <c r="J23" s="70" t="n"/>
      <c r="K23" s="73" t="n"/>
      <c r="L23" s="67" t="n"/>
      <c r="M23" s="98">
        <f>+K23-I23</f>
        <v/>
      </c>
      <c r="N23" s="125" t="n"/>
      <c r="O23" s="125">
        <f>+K23*N23</f>
        <v/>
      </c>
      <c r="P23" s="126" t="inlineStr">
        <is>
          <t>-</t>
        </is>
      </c>
      <c r="Q23" s="27" t="n"/>
      <c r="R23" s="14" t="n"/>
      <c r="S23" s="15" t="n"/>
      <c r="T23" s="39" t="n"/>
      <c r="V23" s="127" t="n"/>
    </row>
    <row r="24" ht="13.5" customFormat="1" customHeight="1" s="16">
      <c r="B24" s="38" t="n"/>
      <c r="C24" s="68" t="n"/>
      <c r="D24" s="69" t="n"/>
      <c r="E24" s="70" t="n"/>
      <c r="F24" s="70" t="n"/>
      <c r="G24" s="69" t="n"/>
      <c r="H24" s="69" t="n"/>
      <c r="I24" s="73" t="n"/>
      <c r="J24" s="70" t="n"/>
      <c r="K24" s="73" t="n"/>
      <c r="L24" s="67" t="n"/>
      <c r="M24" s="98">
        <f>+K24-I24</f>
        <v/>
      </c>
      <c r="N24" s="125" t="n"/>
      <c r="O24" s="125">
        <f>+K24*N24</f>
        <v/>
      </c>
      <c r="P24" s="126" t="inlineStr">
        <is>
          <t>-</t>
        </is>
      </c>
      <c r="Q24" s="27" t="n"/>
      <c r="R24" s="14" t="n"/>
      <c r="S24" s="15" t="n"/>
      <c r="T24" s="39" t="n"/>
      <c r="V24" s="127" t="n"/>
    </row>
    <row r="25" ht="13.5" customFormat="1" customHeight="1" s="16">
      <c r="B25" s="38" t="n"/>
      <c r="C25" s="68" t="n"/>
      <c r="D25" s="69" t="n"/>
      <c r="E25" s="70" t="n"/>
      <c r="F25" s="70" t="n"/>
      <c r="G25" s="69" t="n"/>
      <c r="H25" s="69" t="n"/>
      <c r="I25" s="73" t="n"/>
      <c r="J25" s="70" t="n"/>
      <c r="K25" s="73" t="n"/>
      <c r="L25" s="67" t="n"/>
      <c r="M25" s="98">
        <f>+K25-I25</f>
        <v/>
      </c>
      <c r="N25" s="125" t="n"/>
      <c r="O25" s="125">
        <f>+K25*N25</f>
        <v/>
      </c>
      <c r="P25" s="126" t="inlineStr">
        <is>
          <t>-</t>
        </is>
      </c>
      <c r="Q25" s="27" t="n"/>
      <c r="R25" s="14" t="n"/>
      <c r="S25" s="15" t="n"/>
      <c r="T25" s="39" t="n"/>
      <c r="V25" s="127" t="n"/>
    </row>
    <row r="26" ht="13.5" customFormat="1" customHeight="1" s="16">
      <c r="B26" s="38" t="n"/>
      <c r="C26" s="68" t="n"/>
      <c r="D26" s="69" t="n"/>
      <c r="E26" s="70" t="n"/>
      <c r="F26" s="70" t="n"/>
      <c r="G26" s="69" t="n"/>
      <c r="H26" s="69" t="n"/>
      <c r="I26" s="73" t="n"/>
      <c r="J26" s="70" t="n"/>
      <c r="K26" s="73" t="n"/>
      <c r="L26" s="67" t="n"/>
      <c r="M26" s="98">
        <f>+K26-I26</f>
        <v/>
      </c>
      <c r="N26" s="125" t="n"/>
      <c r="O26" s="125">
        <f>+K26*N26</f>
        <v/>
      </c>
      <c r="P26" s="126" t="inlineStr">
        <is>
          <t>-</t>
        </is>
      </c>
      <c r="Q26" s="27" t="n"/>
      <c r="R26" s="14" t="n"/>
      <c r="S26" s="15" t="n"/>
      <c r="T26" s="39" t="n"/>
      <c r="V26" s="127" t="n"/>
    </row>
    <row r="27" ht="13.5" customFormat="1" customHeight="1" s="16">
      <c r="B27" s="38" t="n"/>
      <c r="C27" s="68" t="n"/>
      <c r="D27" s="69" t="n"/>
      <c r="E27" s="70" t="n"/>
      <c r="F27" s="70" t="n"/>
      <c r="G27" s="69" t="n"/>
      <c r="H27" s="69" t="n"/>
      <c r="I27" s="73" t="n"/>
      <c r="J27" s="70" t="n"/>
      <c r="K27" s="73" t="n"/>
      <c r="L27" s="70" t="n"/>
      <c r="M27" s="98">
        <f>+K27-I27</f>
        <v/>
      </c>
      <c r="N27" s="125" t="n"/>
      <c r="O27" s="125">
        <f>+K27*N27</f>
        <v/>
      </c>
      <c r="P27" s="126" t="inlineStr">
        <is>
          <t>-</t>
        </is>
      </c>
      <c r="Q27" s="27" t="n"/>
      <c r="R27" s="14" t="n"/>
      <c r="S27" s="15" t="n"/>
      <c r="T27" s="39" t="n"/>
      <c r="V27" s="127" t="n"/>
    </row>
    <row r="28" ht="13.5" customFormat="1" customHeight="1" s="16">
      <c r="B28" s="38" t="n"/>
      <c r="C28" s="68" t="n"/>
      <c r="D28" s="69" t="n"/>
      <c r="E28" s="70" t="n"/>
      <c r="F28" s="70" t="n"/>
      <c r="G28" s="69" t="n"/>
      <c r="H28" s="69" t="n"/>
      <c r="I28" s="73" t="n"/>
      <c r="J28" s="70" t="n"/>
      <c r="K28" s="73" t="n"/>
      <c r="L28" s="67" t="n"/>
      <c r="M28" s="98">
        <f>+K28-I28</f>
        <v/>
      </c>
      <c r="N28" s="125" t="n"/>
      <c r="O28" s="125">
        <f>+K28*N28</f>
        <v/>
      </c>
      <c r="P28" s="126" t="inlineStr">
        <is>
          <t>-</t>
        </is>
      </c>
      <c r="Q28" s="27" t="n"/>
      <c r="R28" s="14" t="n"/>
      <c r="S28" s="15" t="n"/>
      <c r="T28" s="39" t="n"/>
      <c r="V28" s="127" t="n"/>
    </row>
    <row r="29" ht="13.5" customFormat="1" customHeight="1" s="16">
      <c r="B29" s="38" t="n"/>
      <c r="C29" s="68" t="n"/>
      <c r="D29" s="69" t="n"/>
      <c r="E29" s="70" t="n"/>
      <c r="F29" s="70" t="n"/>
      <c r="G29" s="69" t="n"/>
      <c r="H29" s="69" t="n"/>
      <c r="I29" s="97" t="n"/>
      <c r="J29" s="96" t="n"/>
      <c r="K29" s="73" t="n"/>
      <c r="L29" s="67" t="n"/>
      <c r="M29" s="98">
        <f>+K29-I29</f>
        <v/>
      </c>
      <c r="N29" s="125" t="n"/>
      <c r="O29" s="125">
        <f>+K29*N29</f>
        <v/>
      </c>
      <c r="P29" s="126" t="inlineStr">
        <is>
          <t>-</t>
        </is>
      </c>
      <c r="Q29" s="27" t="n"/>
      <c r="R29" s="128" t="n"/>
      <c r="S29" s="129" t="n"/>
      <c r="T29" s="72" t="n"/>
      <c r="V29" s="127" t="n"/>
    </row>
    <row r="30" ht="13.5" customFormat="1" customHeight="1" s="16">
      <c r="B30" s="38" t="n"/>
      <c r="C30" s="68" t="n"/>
      <c r="D30" s="69" t="n"/>
      <c r="E30" s="70" t="n"/>
      <c r="F30" s="70" t="n"/>
      <c r="G30" s="69" t="n"/>
      <c r="H30" s="69" t="n"/>
      <c r="I30" s="73" t="n"/>
      <c r="J30" s="70" t="n"/>
      <c r="K30" s="73" t="n"/>
      <c r="L30" s="67" t="n"/>
      <c r="M30" s="98">
        <f>+K30-I30</f>
        <v/>
      </c>
      <c r="N30" s="125" t="n"/>
      <c r="O30" s="125">
        <f>+K30*N30</f>
        <v/>
      </c>
      <c r="P30" s="126" t="inlineStr">
        <is>
          <t>-</t>
        </is>
      </c>
      <c r="Q30" s="27" t="n"/>
      <c r="R30" s="14" t="n"/>
      <c r="S30" s="15" t="n"/>
      <c r="T30" s="39" t="n"/>
      <c r="V30" s="127" t="n"/>
    </row>
    <row r="31" ht="13.5" customFormat="1" customHeight="1" s="16">
      <c r="B31" s="38" t="n"/>
      <c r="C31" s="68" t="n"/>
      <c r="D31" s="69" t="n"/>
      <c r="E31" s="70" t="n"/>
      <c r="F31" s="70" t="n"/>
      <c r="G31" s="69" t="n"/>
      <c r="H31" s="69" t="n"/>
      <c r="I31" s="73" t="n"/>
      <c r="J31" s="70" t="n"/>
      <c r="K31" s="73" t="n"/>
      <c r="L31" s="67" t="n"/>
      <c r="M31" s="98">
        <f>+K31-I31</f>
        <v/>
      </c>
      <c r="N31" s="125" t="n"/>
      <c r="O31" s="125">
        <f>+K31*N31</f>
        <v/>
      </c>
      <c r="P31" s="126" t="inlineStr">
        <is>
          <t>-</t>
        </is>
      </c>
      <c r="Q31" s="27" t="n"/>
      <c r="R31" s="14" t="n"/>
      <c r="S31" s="15" t="n"/>
      <c r="T31" s="39" t="n"/>
      <c r="V31" s="127" t="n"/>
    </row>
    <row r="32" ht="13.5" customFormat="1" customHeight="1" s="16">
      <c r="B32" s="38" t="n"/>
      <c r="C32" s="68" t="n"/>
      <c r="D32" s="69" t="n"/>
      <c r="E32" s="70" t="n"/>
      <c r="F32" s="70" t="n"/>
      <c r="G32" s="69" t="n"/>
      <c r="H32" s="69" t="n"/>
      <c r="I32" s="73" t="n"/>
      <c r="J32" s="70" t="n"/>
      <c r="K32" s="73" t="n"/>
      <c r="L32" s="67" t="n"/>
      <c r="M32" s="98">
        <f>+K32-I32</f>
        <v/>
      </c>
      <c r="N32" s="125" t="n"/>
      <c r="O32" s="125">
        <f>+K32*N32</f>
        <v/>
      </c>
      <c r="P32" s="126" t="inlineStr">
        <is>
          <t>-</t>
        </is>
      </c>
      <c r="Q32" s="27" t="n"/>
      <c r="R32" s="14" t="n"/>
      <c r="S32" s="15" t="n"/>
      <c r="T32" s="39" t="n"/>
      <c r="V32" s="127" t="n"/>
    </row>
    <row r="33" ht="13.5" customFormat="1" customHeight="1" s="16">
      <c r="B33" s="38" t="n"/>
      <c r="C33" s="71" t="n"/>
      <c r="D33" s="69" t="n"/>
      <c r="E33" s="70" t="n"/>
      <c r="F33" s="70" t="n"/>
      <c r="G33" s="69" t="n"/>
      <c r="H33" s="69" t="n"/>
      <c r="I33" s="73" t="n"/>
      <c r="J33" s="70" t="n"/>
      <c r="K33" s="73" t="n"/>
      <c r="L33" s="67" t="n"/>
      <c r="M33" s="98">
        <f>+K33-I33</f>
        <v/>
      </c>
      <c r="N33" s="125" t="n"/>
      <c r="O33" s="125">
        <f>+K33*N33</f>
        <v/>
      </c>
      <c r="P33" s="126" t="inlineStr">
        <is>
          <t>-</t>
        </is>
      </c>
      <c r="Q33" s="27" t="n"/>
      <c r="R33" s="14" t="n"/>
      <c r="S33" s="15" t="n"/>
      <c r="T33" s="39" t="n"/>
      <c r="V33" s="127" t="n"/>
    </row>
    <row r="34" ht="13.5" customFormat="1" customHeight="1" s="16">
      <c r="B34" s="38" t="n"/>
      <c r="C34" s="68" t="n"/>
      <c r="D34" s="69" t="n"/>
      <c r="E34" s="70" t="n"/>
      <c r="F34" s="70" t="n"/>
      <c r="G34" s="69" t="n"/>
      <c r="H34" s="69" t="n"/>
      <c r="I34" s="73" t="n"/>
      <c r="J34" s="70" t="n"/>
      <c r="K34" s="73" t="n"/>
      <c r="L34" s="67" t="n"/>
      <c r="M34" s="98">
        <f>+K34-I34</f>
        <v/>
      </c>
      <c r="N34" s="125" t="n"/>
      <c r="O34" s="125">
        <f>+K34*N34</f>
        <v/>
      </c>
      <c r="P34" s="126" t="inlineStr">
        <is>
          <t>-</t>
        </is>
      </c>
      <c r="Q34" s="27" t="n"/>
      <c r="R34" s="14" t="n"/>
      <c r="S34" s="15" t="n"/>
      <c r="T34" s="39" t="n"/>
      <c r="V34" s="127" t="n"/>
    </row>
    <row r="35" ht="13.5" customFormat="1" customHeight="1" s="16">
      <c r="B35" s="38" t="n"/>
      <c r="C35" s="71" t="n"/>
      <c r="D35" s="69" t="n"/>
      <c r="E35" s="70" t="n"/>
      <c r="F35" s="70" t="n"/>
      <c r="G35" s="69" t="n"/>
      <c r="H35" s="69" t="n"/>
      <c r="I35" s="73" t="n"/>
      <c r="J35" s="70" t="n"/>
      <c r="K35" s="73" t="n"/>
      <c r="L35" s="67" t="n"/>
      <c r="M35" s="98">
        <f>+K35-I35</f>
        <v/>
      </c>
      <c r="N35" s="125" t="n"/>
      <c r="O35" s="125">
        <f>+K35*N35</f>
        <v/>
      </c>
      <c r="P35" s="126" t="inlineStr">
        <is>
          <t>-</t>
        </is>
      </c>
      <c r="Q35" s="27" t="n"/>
      <c r="R35" s="14" t="n"/>
      <c r="S35" s="15" t="n"/>
      <c r="T35" s="39" t="n"/>
      <c r="V35" s="127" t="n"/>
    </row>
    <row r="36" ht="13.5" customFormat="1" customHeight="1" s="16">
      <c r="B36" s="38" t="n"/>
      <c r="C36" s="71" t="n"/>
      <c r="D36" s="69" t="n"/>
      <c r="E36" s="70" t="n"/>
      <c r="F36" s="70" t="n"/>
      <c r="G36" s="69" t="n"/>
      <c r="H36" s="69" t="n"/>
      <c r="I36" s="73" t="n"/>
      <c r="J36" s="70" t="n"/>
      <c r="K36" s="73" t="n"/>
      <c r="L36" s="67" t="n"/>
      <c r="M36" s="98">
        <f>+K36-I36</f>
        <v/>
      </c>
      <c r="N36" s="125" t="n"/>
      <c r="O36" s="125">
        <f>+K36*N36</f>
        <v/>
      </c>
      <c r="P36" s="126" t="inlineStr">
        <is>
          <t>-</t>
        </is>
      </c>
      <c r="Q36" s="27" t="n"/>
      <c r="R36" s="14" t="n"/>
      <c r="S36" s="15" t="n"/>
      <c r="T36" s="39" t="n"/>
      <c r="V36" s="127" t="n"/>
    </row>
    <row r="37" ht="13.5" customFormat="1" customHeight="1" s="16">
      <c r="B37" s="38" t="n"/>
      <c r="C37" s="66" t="n"/>
      <c r="D37" s="57" t="n"/>
      <c r="E37" s="67" t="n"/>
      <c r="F37" s="67" t="n"/>
      <c r="G37" s="57" t="n"/>
      <c r="H37" s="57" t="n"/>
      <c r="I37" s="74" t="n"/>
      <c r="J37" s="67" t="n"/>
      <c r="K37" s="74" t="n"/>
      <c r="L37" s="67" t="n"/>
      <c r="M37" s="98">
        <f>+K37-I37</f>
        <v/>
      </c>
      <c r="N37" s="125" t="n"/>
      <c r="O37" s="125">
        <f>+K37*N37</f>
        <v/>
      </c>
      <c r="P37" s="126" t="inlineStr">
        <is>
          <t>-</t>
        </is>
      </c>
      <c r="Q37" s="27" t="n"/>
      <c r="R37" s="14" t="n"/>
      <c r="S37" s="15" t="n"/>
      <c r="T37" s="39" t="n"/>
      <c r="V37" s="127" t="n"/>
    </row>
    <row r="38" ht="13.5" customFormat="1" customHeight="1" s="16">
      <c r="B38" s="38" t="n"/>
      <c r="C38" s="66" t="n"/>
      <c r="D38" s="57" t="n"/>
      <c r="E38" s="67" t="n"/>
      <c r="F38" s="67" t="n"/>
      <c r="G38" s="57" t="n"/>
      <c r="H38" s="57" t="n"/>
      <c r="I38" s="74" t="n"/>
      <c r="J38" s="67" t="n"/>
      <c r="K38" s="74" t="n"/>
      <c r="L38" s="67" t="n"/>
      <c r="M38" s="98">
        <f>+K38-I38</f>
        <v/>
      </c>
      <c r="N38" s="125" t="n"/>
      <c r="O38" s="125">
        <f>+K38*N38</f>
        <v/>
      </c>
      <c r="P38" s="126" t="inlineStr">
        <is>
          <t>-</t>
        </is>
      </c>
      <c r="Q38" s="27" t="n"/>
      <c r="R38" s="14" t="n"/>
      <c r="S38" s="15" t="n"/>
      <c r="T38" s="39" t="n"/>
      <c r="V38" s="127" t="n"/>
    </row>
    <row r="39" ht="13.5" customHeight="1" thickBot="1">
      <c r="B39" s="32" t="n"/>
      <c r="K39" s="4" t="inlineStr">
        <is>
          <t xml:space="preserve"> </t>
        </is>
      </c>
      <c r="L39" s="63" t="n"/>
      <c r="M39" s="54" t="n"/>
      <c r="Q39" s="26" t="n"/>
      <c r="S39" s="7" t="n"/>
      <c r="T39" s="33" t="n"/>
      <c r="V39" s="56" t="n"/>
    </row>
    <row r="40" ht="18.75" customFormat="1" customHeight="1" s="63">
      <c r="B40" s="34" t="n"/>
      <c r="C40" s="13" t="n"/>
      <c r="D40" s="13" t="n"/>
      <c r="E40" s="13" t="n"/>
      <c r="F40" s="13" t="n"/>
      <c r="G40" s="17" t="inlineStr">
        <is>
          <t xml:space="preserve">Valor Total y Diferencia ==&gt; </t>
        </is>
      </c>
      <c r="I40" s="13" t="n"/>
      <c r="J40" s="13" t="n"/>
      <c r="K40" s="13" t="n"/>
      <c r="L40" s="1" t="n"/>
      <c r="N40" s="63" t="inlineStr">
        <is>
          <t>Sobrante</t>
        </is>
      </c>
      <c r="P40" s="18">
        <f>SUMIF(P9:P38,"&gt;0")</f>
        <v/>
      </c>
      <c r="Q40" s="7" t="n"/>
      <c r="R40" s="130" t="inlineStr">
        <is>
          <t>TOTAL INVENTARIADO</t>
        </is>
      </c>
      <c r="S40" s="131">
        <f>SUM(O9:O38)</f>
        <v/>
      </c>
      <c r="T40" s="35" t="n"/>
      <c r="V40" s="58" t="n"/>
    </row>
    <row r="41" ht="18.75" customFormat="1" customHeight="1" s="63" thickBot="1">
      <c r="B41" s="34" t="n"/>
      <c r="C41" s="13" t="n"/>
      <c r="D41" s="13" t="n"/>
      <c r="E41" s="13" t="n"/>
      <c r="F41" s="13" t="n"/>
      <c r="I41" s="13" t="n"/>
      <c r="J41" s="13" t="n"/>
      <c r="K41" s="13" t="n"/>
      <c r="N41" s="63" t="inlineStr">
        <is>
          <t>Faltante</t>
        </is>
      </c>
      <c r="P41" s="20">
        <f>SUMIF(P9:P38,"&lt;0")</f>
        <v/>
      </c>
      <c r="Q41" s="7" t="n"/>
      <c r="R41" s="132" t="n"/>
      <c r="S41" s="133" t="n"/>
      <c r="T41" s="35" t="n"/>
    </row>
    <row r="42" ht="18.75" customFormat="1" customHeight="1" s="63">
      <c r="B42" s="34" t="n"/>
      <c r="C42" s="13" t="n"/>
      <c r="D42" s="13" t="n"/>
      <c r="E42" s="13" t="n"/>
      <c r="F42" s="13" t="n"/>
      <c r="I42" s="13" t="n"/>
      <c r="J42" s="13" t="n"/>
      <c r="K42" s="13" t="n"/>
      <c r="N42" s="63" t="inlineStr">
        <is>
          <t>Neto</t>
        </is>
      </c>
      <c r="P42" s="21">
        <f>+P41+P40</f>
        <v/>
      </c>
      <c r="Q42" s="7" t="n"/>
      <c r="R42" s="134" t="inlineStr">
        <is>
          <t>Sobrante</t>
        </is>
      </c>
      <c r="S42" s="135" t="n">
        <v>0</v>
      </c>
      <c r="T42" s="35" t="n"/>
    </row>
    <row r="43" ht="18.75" customFormat="1" customHeight="1" s="63">
      <c r="B43" s="34" t="n"/>
      <c r="C43" s="13" t="n"/>
      <c r="D43" s="13" t="n"/>
      <c r="E43" s="13" t="n"/>
      <c r="F43" s="13" t="n"/>
      <c r="I43" s="13" t="n"/>
      <c r="J43" s="13" t="n"/>
      <c r="K43" s="13" t="n"/>
      <c r="Q43" s="7" t="n"/>
      <c r="R43" s="134" t="inlineStr">
        <is>
          <t>Faltante</t>
        </is>
      </c>
      <c r="S43" s="135" t="n">
        <v>0</v>
      </c>
      <c r="T43" s="35" t="n"/>
    </row>
    <row r="44" ht="18.75" customFormat="1" customHeight="1" s="63">
      <c r="B44" s="34" t="n"/>
      <c r="C44" s="13" t="n"/>
      <c r="D44" s="13" t="n"/>
      <c r="E44" s="13" t="n"/>
      <c r="F44" s="13" t="n"/>
      <c r="I44" s="13" t="n"/>
      <c r="J44" s="13" t="n"/>
      <c r="K44" s="13" t="n"/>
      <c r="Q44" s="7" t="n"/>
      <c r="R44" s="102" t="inlineStr">
        <is>
          <t>Neto</t>
        </is>
      </c>
      <c r="S44" s="136" t="n">
        <v>0</v>
      </c>
      <c r="T44" s="40" t="n"/>
    </row>
    <row r="45" ht="18.75" customFormat="1" customHeight="1" s="63">
      <c r="B45" s="34" t="n"/>
      <c r="C45" s="13" t="n"/>
      <c r="D45" s="13" t="n"/>
      <c r="E45" s="13" t="n"/>
      <c r="F45" s="13" t="n"/>
      <c r="I45" s="13" t="n"/>
      <c r="J45" s="13" t="n"/>
      <c r="K45" s="13" t="n"/>
      <c r="Q45" s="7" t="n"/>
      <c r="R45" s="22" t="n"/>
      <c r="S45" s="19" t="n"/>
      <c r="T45" s="40" t="n"/>
    </row>
    <row r="46" ht="18.75" customFormat="1" customHeight="1" s="63">
      <c r="B46" s="34" t="n"/>
      <c r="C46" s="13" t="n"/>
      <c r="D46" s="13" t="n"/>
      <c r="E46" s="13" t="n"/>
      <c r="F46" s="13" t="n"/>
      <c r="I46" s="13" t="n"/>
      <c r="J46" s="13" t="n"/>
      <c r="K46" s="13" t="n"/>
      <c r="Q46" s="7" t="n"/>
      <c r="R46" s="22" t="n"/>
      <c r="S46" s="19" t="n"/>
      <c r="T46" s="40" t="n"/>
    </row>
    <row r="47" ht="13.5" customHeight="1" thickBot="1">
      <c r="B47" s="41" t="n"/>
      <c r="C47" s="42" t="inlineStr">
        <is>
          <t>Declaramos que estamos conformes con el sustento dado para el ajuste respectivo:</t>
        </is>
      </c>
      <c r="D47" s="43" t="n"/>
      <c r="E47" s="43" t="n"/>
      <c r="F47" s="43" t="n"/>
      <c r="G47" s="44" t="n"/>
      <c r="H47" s="44" t="n"/>
      <c r="I47" s="43" t="n"/>
      <c r="J47" s="43" t="n"/>
      <c r="K47" s="43" t="n"/>
      <c r="L47" s="44" t="n"/>
      <c r="M47" s="44" t="n"/>
      <c r="N47" s="44" t="n"/>
      <c r="O47" s="44" t="n"/>
      <c r="P47" s="44" t="n"/>
      <c r="Q47" s="44" t="n"/>
      <c r="R47" s="44" t="n"/>
      <c r="S47" s="45" t="n"/>
      <c r="T47" s="46" t="n"/>
    </row>
    <row r="48" ht="13" customHeight="1">
      <c r="B48" s="32" t="n"/>
      <c r="C48" s="23" t="n"/>
      <c r="S48" s="7" t="n"/>
      <c r="T48" s="47" t="n"/>
    </row>
    <row r="49" ht="13" customHeight="1">
      <c r="B49" s="32" t="n"/>
      <c r="C49" s="23" t="n"/>
      <c r="S49" s="7" t="n"/>
      <c r="T49" s="47" t="n"/>
    </row>
    <row r="50" ht="13" customHeight="1">
      <c r="B50" s="32" t="n"/>
      <c r="C50" s="23" t="n"/>
      <c r="S50" s="7" t="n"/>
      <c r="T50" s="47" t="n"/>
    </row>
    <row r="51" ht="13" customHeight="1">
      <c r="B51" s="32" t="n"/>
      <c r="G51" s="1" t="inlineStr">
        <is>
          <t xml:space="preserve"> </t>
        </is>
      </c>
      <c r="S51" s="7" t="n"/>
      <c r="T51" s="47" t="n"/>
    </row>
    <row r="52" ht="13" customHeight="1">
      <c r="B52" s="32" t="n"/>
      <c r="S52" s="7" t="n"/>
      <c r="T52" s="47" t="n"/>
    </row>
    <row r="53" ht="13" customHeight="1">
      <c r="B53" s="32" t="n"/>
      <c r="S53" s="7" t="n"/>
      <c r="T53" s="47" t="n"/>
    </row>
    <row r="54" ht="13" customHeight="1">
      <c r="B54" s="32" t="n"/>
      <c r="D54" s="23" t="inlineStr">
        <is>
          <t>__________________</t>
        </is>
      </c>
      <c r="G54" s="1" t="inlineStr">
        <is>
          <t>_______________________</t>
        </is>
      </c>
      <c r="I54" s="4" t="inlineStr">
        <is>
          <t>___________________</t>
        </is>
      </c>
      <c r="M54" s="1" t="inlineStr">
        <is>
          <t>_________________________</t>
        </is>
      </c>
      <c r="R54" s="7" t="inlineStr">
        <is>
          <t>____________________</t>
        </is>
      </c>
      <c r="T54" s="47" t="n"/>
    </row>
    <row r="55">
      <c r="B55" s="32" t="n"/>
      <c r="D55" s="23" t="inlineStr">
        <is>
          <t>Superintendente</t>
        </is>
      </c>
      <c r="F55" s="1" t="n"/>
      <c r="G55" s="1" t="inlineStr">
        <is>
          <t>Administrador</t>
        </is>
      </c>
      <c r="I55" s="4" t="inlineStr">
        <is>
          <t>Jefe de Logistica</t>
        </is>
      </c>
      <c r="M55" s="1" t="inlineStr">
        <is>
          <t>Jefe Central de Abastecimiento</t>
        </is>
      </c>
      <c r="R55" s="1" t="inlineStr">
        <is>
          <t>Sub - Gerente Logística</t>
        </is>
      </c>
      <c r="T55" s="47" t="n"/>
    </row>
    <row r="56" ht="13" customHeight="1">
      <c r="B56" s="32" t="n"/>
      <c r="D56" s="24" t="n"/>
      <c r="E56" s="24" t="n"/>
      <c r="F56" s="1" t="n"/>
      <c r="S56" s="7" t="n"/>
      <c r="T56" s="47" t="n"/>
    </row>
    <row r="57" ht="14.5" customHeight="1">
      <c r="B57" s="32" t="n"/>
      <c r="C57" s="25" t="n"/>
      <c r="F57" s="24" t="n"/>
      <c r="S57" s="7" t="n"/>
      <c r="T57" s="47" t="n"/>
    </row>
    <row r="58" ht="14.5" customHeight="1">
      <c r="B58" s="32" t="n"/>
      <c r="C58" s="25" t="n"/>
      <c r="S58" s="7" t="n"/>
      <c r="T58" s="47" t="n"/>
    </row>
    <row r="59" ht="13.5" customHeight="1" thickBot="1">
      <c r="B59" s="48" t="n"/>
      <c r="C59" s="49" t="inlineStr">
        <is>
          <t>SLO03-F05 v00</t>
        </is>
      </c>
      <c r="D59" s="50" t="n"/>
      <c r="E59" s="50" t="n"/>
      <c r="F59" s="50" t="n"/>
      <c r="G59" s="51" t="n"/>
      <c r="H59" s="51" t="n"/>
      <c r="I59" s="50" t="n"/>
      <c r="J59" s="50" t="n"/>
      <c r="K59" s="50" t="n"/>
      <c r="L59" s="51" t="n"/>
      <c r="M59" s="51" t="n"/>
      <c r="N59" s="51" t="n"/>
      <c r="O59" s="51" t="n"/>
      <c r="P59" s="51" t="n"/>
      <c r="Q59" s="51" t="n"/>
      <c r="R59" s="51" t="n"/>
      <c r="S59" s="52" t="n"/>
      <c r="T59" s="53" t="n"/>
    </row>
    <row r="60" ht="13" customHeight="1">
      <c r="S60" s="7" t="n"/>
    </row>
  </sheetData>
  <mergeCells count="8">
    <mergeCell ref="S40:S41"/>
    <mergeCell ref="C6:D6"/>
    <mergeCell ref="R7:S7"/>
    <mergeCell ref="R29:S29"/>
    <mergeCell ref="E5:G5"/>
    <mergeCell ref="C5:D5"/>
    <mergeCell ref="R40:R41"/>
    <mergeCell ref="E6:G6"/>
  </mergeCells>
  <dataValidations disablePrompts="1" count="1">
    <dataValidation sqref="S9:S28 S30:S38" showDropDown="0" showInputMessage="1" showErrorMessage="1" allowBlank="1" type="list">
      <formula1>$Z$2:$Z$3</formula1>
    </dataValidation>
  </dataValidations>
  <printOptions horizontalCentered="1"/>
  <pageMargins left="0.25" right="0.25" top="0.75" bottom="0.75" header="0.3" footer="0.3"/>
  <pageSetup orientation="landscape" paperSize="9" scale="53" fitToHeight="0"/>
  <headerFooter>
    <oddHeader/>
    <oddFooter>&amp;C&amp;P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6"/>
  <sheetViews>
    <sheetView topLeftCell="A12" workbookViewId="0">
      <selection activeCell="J10" sqref="J10"/>
    </sheetView>
  </sheetViews>
  <sheetFormatPr baseColWidth="10" defaultColWidth="9.1796875" defaultRowHeight="14.5"/>
  <cols>
    <col width="15.26953125" customWidth="1" style="83" min="1" max="1"/>
    <col width="12" bestFit="1" customWidth="1" style="83" min="2" max="2"/>
    <col width="12.26953125" customWidth="1" style="83" min="3" max="3"/>
    <col width="15.81640625" customWidth="1" style="83" min="4" max="4"/>
    <col width="50" customWidth="1" style="78" min="5" max="5"/>
    <col width="13" bestFit="1" customWidth="1" style="82" min="6" max="6"/>
    <col width="12" bestFit="1" customWidth="1" style="83" min="7" max="7"/>
    <col width="12.7265625" customWidth="1" style="83" min="8" max="8"/>
    <col width="20" customWidth="1" style="137" min="9" max="9"/>
    <col width="20" customWidth="1" style="59" min="10" max="10"/>
    <col width="14" bestFit="1" customWidth="1" style="83" min="11" max="11"/>
    <col width="9.1796875" customWidth="1" style="59" min="12" max="16384"/>
  </cols>
  <sheetData>
    <row r="1">
      <c r="A1" s="83" t="n">
        <v>1</v>
      </c>
      <c r="B1" s="83" t="n">
        <v>2</v>
      </c>
      <c r="C1" s="83" t="n">
        <v>3</v>
      </c>
      <c r="D1" s="83" t="n">
        <v>4</v>
      </c>
      <c r="E1" s="83" t="n">
        <v>5</v>
      </c>
      <c r="F1" s="83" t="n">
        <v>6</v>
      </c>
      <c r="G1" s="83" t="n">
        <v>7</v>
      </c>
      <c r="H1" s="83" t="n">
        <v>8</v>
      </c>
      <c r="I1" s="83" t="n">
        <v>9</v>
      </c>
      <c r="J1" s="83" t="n">
        <v>10</v>
      </c>
      <c r="K1" s="83" t="n">
        <v>11</v>
      </c>
    </row>
    <row r="2" ht="29" customHeight="1">
      <c r="A2" s="75" t="inlineStr">
        <is>
          <t>Material</t>
        </is>
      </c>
      <c r="B2" s="75" t="inlineStr">
        <is>
          <t>Centro</t>
        </is>
      </c>
      <c r="C2" s="76" t="inlineStr">
        <is>
          <t>Almacén</t>
        </is>
      </c>
      <c r="D2" s="75" t="inlineStr">
        <is>
          <t>Ubicación</t>
        </is>
      </c>
      <c r="E2" s="79" t="inlineStr">
        <is>
          <t>Texto breve de material</t>
        </is>
      </c>
      <c r="F2" s="77" t="inlineStr">
        <is>
          <t>Unidad medida base</t>
        </is>
      </c>
      <c r="G2" s="77" t="inlineStr">
        <is>
          <t>Libre utilización</t>
        </is>
      </c>
      <c r="H2" s="75" t="inlineStr">
        <is>
          <t>Lote</t>
        </is>
      </c>
      <c r="I2" s="138" t="inlineStr">
        <is>
          <t>precio total</t>
        </is>
      </c>
      <c r="J2" s="93" t="inlineStr">
        <is>
          <t>precio unitario</t>
        </is>
      </c>
      <c r="K2" s="75" t="inlineStr">
        <is>
          <t>Moneda</t>
        </is>
      </c>
    </row>
    <row r="3">
      <c r="A3" s="84" t="n">
        <v>34004357</v>
      </c>
      <c r="B3" s="67" t="inlineStr">
        <is>
          <t>TPSU</t>
        </is>
      </c>
      <c r="C3" s="90" t="inlineStr">
        <is>
          <t>L001</t>
        </is>
      </c>
      <c r="D3" s="84" t="n">
        <v>1010101</v>
      </c>
      <c r="E3" s="80" t="inlineStr">
        <is>
          <t>GASKET 0007-3787-910</t>
        </is>
      </c>
      <c r="F3" s="67" t="inlineStr">
        <is>
          <t>UN</t>
        </is>
      </c>
      <c r="G3" s="84" t="n">
        <v>1</v>
      </c>
      <c r="H3" s="57" t="inlineStr"/>
      <c r="I3" s="139" t="n">
        <v>2923.11</v>
      </c>
      <c r="J3" s="140" t="n">
        <v>2923.11</v>
      </c>
      <c r="K3" s="86" t="inlineStr">
        <is>
          <t>PEN</t>
        </is>
      </c>
    </row>
    <row r="4">
      <c r="A4" s="84" t="n">
        <v>33034344</v>
      </c>
      <c r="B4" s="67" t="inlineStr">
        <is>
          <t>TPSU</t>
        </is>
      </c>
      <c r="C4" s="90" t="inlineStr">
        <is>
          <t>L001</t>
        </is>
      </c>
      <c r="D4" s="84" t="n">
        <v>1010101</v>
      </c>
      <c r="E4" s="80" t="inlineStr">
        <is>
          <t>LABERINTO 9RB 6082055 0217001600</t>
        </is>
      </c>
      <c r="F4" s="67" t="inlineStr">
        <is>
          <t>UN</t>
        </is>
      </c>
      <c r="G4" s="84" t="n">
        <v>1</v>
      </c>
      <c r="H4" s="57" t="inlineStr"/>
      <c r="I4" s="139" t="n">
        <v>150.64</v>
      </c>
      <c r="J4" s="140" t="n">
        <v>150.64</v>
      </c>
      <c r="K4" s="86" t="inlineStr">
        <is>
          <t>PEN</t>
        </is>
      </c>
    </row>
    <row r="5">
      <c r="A5" s="84" t="n">
        <v>33034571</v>
      </c>
      <c r="B5" s="67" t="inlineStr">
        <is>
          <t>TPSU</t>
        </is>
      </c>
      <c r="C5" s="90" t="inlineStr">
        <is>
          <t>L001</t>
        </is>
      </c>
      <c r="D5" s="84" t="n">
        <v>1010101</v>
      </c>
      <c r="E5" s="80" t="inlineStr">
        <is>
          <t>LUNA VISORA VIDR.TEMP.D:100MM ESP:15MM</t>
        </is>
      </c>
      <c r="F5" s="67" t="inlineStr">
        <is>
          <t>UN</t>
        </is>
      </c>
      <c r="G5" s="84" t="n">
        <v>2</v>
      </c>
      <c r="H5" s="57" t="inlineStr"/>
      <c r="I5" s="139" t="n">
        <v>686.85</v>
      </c>
      <c r="J5" s="140" t="n">
        <v>343.425</v>
      </c>
      <c r="K5" s="86" t="inlineStr">
        <is>
          <t>PEN</t>
        </is>
      </c>
    </row>
    <row r="6">
      <c r="A6" s="84" t="n">
        <v>34002831</v>
      </c>
      <c r="B6" s="67" t="inlineStr">
        <is>
          <t>TPSU</t>
        </is>
      </c>
      <c r="C6" s="90" t="inlineStr">
        <is>
          <t>L001</t>
        </is>
      </c>
      <c r="D6" s="84" t="n">
        <v>1010102</v>
      </c>
      <c r="E6" s="80" t="inlineStr">
        <is>
          <t>ELASTIC PLATE 60571 00</t>
        </is>
      </c>
      <c r="F6" s="67" t="inlineStr">
        <is>
          <t>UN</t>
        </is>
      </c>
      <c r="G6" s="84" t="n">
        <v>3</v>
      </c>
      <c r="H6" s="57" t="inlineStr"/>
      <c r="I6" s="139" t="n">
        <v>1480.24</v>
      </c>
      <c r="J6" s="140" t="n">
        <v>493.4133333333334</v>
      </c>
      <c r="K6" s="86" t="inlineStr">
        <is>
          <t>PEN</t>
        </is>
      </c>
    </row>
    <row r="7">
      <c r="A7" s="84" t="n">
        <v>33033559</v>
      </c>
      <c r="B7" s="67" t="inlineStr">
        <is>
          <t>TPSU</t>
        </is>
      </c>
      <c r="C7" s="90" t="inlineStr">
        <is>
          <t>L001</t>
        </is>
      </c>
      <c r="D7" s="84" t="n">
        <v>1010103</v>
      </c>
      <c r="E7" s="80" t="inlineStr">
        <is>
          <t>GASKET KIT 5195742 (5193118)</t>
        </is>
      </c>
      <c r="F7" s="67" t="inlineStr">
        <is>
          <t>UN</t>
        </is>
      </c>
      <c r="G7" s="84" t="n">
        <v>1</v>
      </c>
      <c r="H7" s="57" t="inlineStr"/>
      <c r="I7" s="139" t="n">
        <v>388.9</v>
      </c>
      <c r="J7" s="140" t="n">
        <v>388.9</v>
      </c>
      <c r="K7" s="86" t="inlineStr">
        <is>
          <t>PEN</t>
        </is>
      </c>
    </row>
    <row r="8">
      <c r="A8" s="84" t="n">
        <v>33042622</v>
      </c>
      <c r="B8" s="67" t="inlineStr">
        <is>
          <t>TPSU</t>
        </is>
      </c>
      <c r="C8" s="90" t="inlineStr">
        <is>
          <t>L001</t>
        </is>
      </c>
      <c r="D8" s="84" t="n">
        <v>1010104</v>
      </c>
      <c r="E8" s="80" t="inlineStr">
        <is>
          <t>KIT REPUESTO P/REDUCTOR FAF47DRS90M4 SEW</t>
        </is>
      </c>
      <c r="F8" s="67" t="inlineStr">
        <is>
          <t>JGO</t>
        </is>
      </c>
      <c r="G8" s="84" t="n">
        <v>2</v>
      </c>
      <c r="H8" s="57" t="inlineStr"/>
      <c r="I8" s="139" t="n">
        <v>1886</v>
      </c>
      <c r="J8" s="140" t="n">
        <v>943</v>
      </c>
      <c r="K8" s="86" t="inlineStr">
        <is>
          <t>PEN</t>
        </is>
      </c>
    </row>
    <row r="9">
      <c r="A9" s="84" t="n">
        <v>33042622</v>
      </c>
      <c r="B9" s="67" t="inlineStr">
        <is>
          <t>TPSU</t>
        </is>
      </c>
      <c r="C9" s="90" t="inlineStr">
        <is>
          <t>L004</t>
        </is>
      </c>
      <c r="D9" s="84" t="n">
        <v>1010104</v>
      </c>
      <c r="E9" s="80" t="inlineStr">
        <is>
          <t>KIT REPUESTO P/REDUCTOR FAF47DRS90M4 SEW</t>
        </is>
      </c>
      <c r="F9" s="67" t="inlineStr">
        <is>
          <t>JGO</t>
        </is>
      </c>
      <c r="G9" s="84" t="n">
        <v>1</v>
      </c>
      <c r="H9" s="57" t="inlineStr"/>
      <c r="I9" s="139" t="n">
        <v>943</v>
      </c>
      <c r="J9" s="140" t="n">
        <v>943</v>
      </c>
      <c r="K9" s="86" t="inlineStr">
        <is>
          <t>PEN</t>
        </is>
      </c>
    </row>
    <row r="10">
      <c r="A10" s="84" t="n">
        <v>31015418</v>
      </c>
      <c r="B10" s="67" t="inlineStr">
        <is>
          <t>TPSU</t>
        </is>
      </c>
      <c r="C10" s="90" t="inlineStr">
        <is>
          <t>L001</t>
        </is>
      </c>
      <c r="D10" s="84" t="n">
        <v>1010201</v>
      </c>
      <c r="E10" s="80" t="inlineStr">
        <is>
          <t>LIJA AGUA N°100</t>
        </is>
      </c>
      <c r="F10" s="67" t="inlineStr">
        <is>
          <t>UN</t>
        </is>
      </c>
      <c r="G10" s="84" t="n">
        <v>9</v>
      </c>
      <c r="H10" s="57" t="inlineStr"/>
      <c r="I10" s="139" t="n">
        <v>8.73</v>
      </c>
      <c r="J10" s="140" t="n">
        <v>0.9700000000000001</v>
      </c>
      <c r="K10" s="86" t="inlineStr">
        <is>
          <t>PEN</t>
        </is>
      </c>
    </row>
    <row r="11">
      <c r="A11" s="84" t="n">
        <v>31015419</v>
      </c>
      <c r="B11" s="67" t="inlineStr">
        <is>
          <t>TPSU</t>
        </is>
      </c>
      <c r="C11" s="90" t="inlineStr">
        <is>
          <t>L001</t>
        </is>
      </c>
      <c r="D11" s="84" t="n">
        <v>1010201</v>
      </c>
      <c r="E11" s="80" t="inlineStr">
        <is>
          <t>LIJA AGUA Nº 120-3/0</t>
        </is>
      </c>
      <c r="F11" s="67" t="inlineStr">
        <is>
          <t>UN</t>
        </is>
      </c>
      <c r="G11" s="84" t="n">
        <v>24</v>
      </c>
      <c r="H11" s="57" t="n"/>
      <c r="I11" s="139" t="n">
        <v>25.45</v>
      </c>
      <c r="J11" s="140">
        <f>+I11/G11</f>
        <v/>
      </c>
      <c r="K11" s="86" t="inlineStr">
        <is>
          <t>PEN</t>
        </is>
      </c>
    </row>
    <row r="12">
      <c r="A12" s="84" t="n">
        <v>31015347</v>
      </c>
      <c r="B12" s="67" t="inlineStr">
        <is>
          <t>TPSU</t>
        </is>
      </c>
      <c r="C12" s="90" t="inlineStr">
        <is>
          <t>L001</t>
        </is>
      </c>
      <c r="D12" s="84" t="n">
        <v>1010201</v>
      </c>
      <c r="E12" s="80" t="inlineStr">
        <is>
          <t>LIJA AGUA Nº 220-6/0</t>
        </is>
      </c>
      <c r="F12" s="67" t="inlineStr">
        <is>
          <t>UN</t>
        </is>
      </c>
      <c r="G12" s="84" t="n">
        <v>16</v>
      </c>
      <c r="H12" s="57" t="inlineStr"/>
      <c r="I12" s="139" t="n">
        <v>12.16</v>
      </c>
      <c r="J12" s="140" t="n">
        <v>0.76</v>
      </c>
      <c r="K12" s="86" t="inlineStr">
        <is>
          <t>PEN</t>
        </is>
      </c>
    </row>
    <row r="13">
      <c r="A13" s="84" t="n">
        <v>31015346</v>
      </c>
      <c r="B13" s="67" t="inlineStr">
        <is>
          <t>TPSU</t>
        </is>
      </c>
      <c r="C13" s="90" t="inlineStr">
        <is>
          <t>L001</t>
        </is>
      </c>
      <c r="D13" s="84" t="n">
        <v>1010202</v>
      </c>
      <c r="E13" s="80" t="inlineStr">
        <is>
          <t>LIJA AGUA Nº 180-5/0</t>
        </is>
      </c>
      <c r="F13" s="67" t="inlineStr">
        <is>
          <t>UN</t>
        </is>
      </c>
      <c r="G13" s="84" t="n">
        <v>26</v>
      </c>
      <c r="H13" s="57" t="inlineStr"/>
      <c r="I13" s="139" t="n">
        <v>21.77</v>
      </c>
      <c r="J13" s="140" t="n">
        <v>0.8373076923076923</v>
      </c>
      <c r="K13" s="86" t="inlineStr">
        <is>
          <t>PEN</t>
        </is>
      </c>
    </row>
    <row r="14">
      <c r="A14" s="84" t="n">
        <v>31015348</v>
      </c>
      <c r="B14" s="67" t="inlineStr">
        <is>
          <t>TPSU</t>
        </is>
      </c>
      <c r="C14" s="90" t="inlineStr">
        <is>
          <t>L001</t>
        </is>
      </c>
      <c r="D14" s="84" t="n">
        <v>1010202</v>
      </c>
      <c r="E14" s="141" t="inlineStr">
        <is>
          <t>LIJA AGUA Nº 400 10/0-A</t>
        </is>
      </c>
      <c r="F14" s="67" t="inlineStr">
        <is>
          <t>UN</t>
        </is>
      </c>
      <c r="G14" s="84" t="n">
        <v>9</v>
      </c>
      <c r="H14" s="57" t="inlineStr"/>
      <c r="I14" s="139" t="n">
        <v>6.99</v>
      </c>
      <c r="J14" s="140" t="n">
        <v>0.7766666666666667</v>
      </c>
      <c r="K14" s="86" t="inlineStr">
        <is>
          <t>PEN</t>
        </is>
      </c>
    </row>
    <row r="15">
      <c r="A15" s="84" t="n">
        <v>31015423</v>
      </c>
      <c r="B15" s="67" t="inlineStr">
        <is>
          <t>TPSU</t>
        </is>
      </c>
      <c r="C15" s="90" t="inlineStr">
        <is>
          <t>L001</t>
        </is>
      </c>
      <c r="D15" s="84" t="n">
        <v>1010202</v>
      </c>
      <c r="E15" s="80" t="inlineStr">
        <is>
          <t>LIJA AGUA Nº 600 A</t>
        </is>
      </c>
      <c r="F15" s="67" t="inlineStr">
        <is>
          <t>UN</t>
        </is>
      </c>
      <c r="G15" s="84" t="n">
        <v>13</v>
      </c>
      <c r="H15" s="57" t="inlineStr"/>
      <c r="I15" s="139" t="n">
        <v>10.04</v>
      </c>
      <c r="J15" s="140" t="n">
        <v>0.7723076923076923</v>
      </c>
      <c r="K15" s="86" t="inlineStr">
        <is>
          <t>PEN</t>
        </is>
      </c>
    </row>
    <row r="16">
      <c r="A16" s="84" t="n">
        <v>31015423</v>
      </c>
      <c r="B16" s="67" t="inlineStr">
        <is>
          <t>TPSU</t>
        </is>
      </c>
      <c r="C16" s="90" t="inlineStr">
        <is>
          <t>L001</t>
        </is>
      </c>
      <c r="D16" s="84" t="n">
        <v>1010202</v>
      </c>
      <c r="E16" s="80" t="inlineStr">
        <is>
          <t>LIJA AGUA Nº 600 A</t>
        </is>
      </c>
      <c r="F16" s="67" t="inlineStr">
        <is>
          <t>UN</t>
        </is>
      </c>
      <c r="G16" s="84" t="n">
        <v>3</v>
      </c>
      <c r="H16" s="57" t="inlineStr"/>
      <c r="I16" s="139" t="n">
        <v>2.1</v>
      </c>
      <c r="J16" s="140" t="n">
        <v>0.7000000000000001</v>
      </c>
      <c r="K16" s="86" t="inlineStr">
        <is>
          <t>PEN</t>
        </is>
      </c>
    </row>
    <row r="17">
      <c r="A17" s="84" t="n">
        <v>31015349</v>
      </c>
      <c r="B17" s="67" t="inlineStr">
        <is>
          <t>TPSU</t>
        </is>
      </c>
      <c r="C17" s="90" t="inlineStr">
        <is>
          <t>L001</t>
        </is>
      </c>
      <c r="D17" s="84" t="n">
        <v>1010203</v>
      </c>
      <c r="E17" s="80" t="inlineStr">
        <is>
          <t>LIJA FIERRO Nº 40-3</t>
        </is>
      </c>
      <c r="F17" s="67" t="inlineStr">
        <is>
          <t>UN</t>
        </is>
      </c>
      <c r="G17" s="84" t="n">
        <v>37</v>
      </c>
      <c r="H17" s="57" t="inlineStr"/>
      <c r="I17" s="139" t="n">
        <v>58.53</v>
      </c>
      <c r="J17" s="140" t="n">
        <v>1.581891891891892</v>
      </c>
      <c r="K17" s="86" t="inlineStr">
        <is>
          <t>PEN</t>
        </is>
      </c>
    </row>
    <row r="18">
      <c r="A18" s="84" t="n">
        <v>31015350</v>
      </c>
      <c r="B18" s="67" t="inlineStr">
        <is>
          <t>TPSU</t>
        </is>
      </c>
      <c r="C18" s="90" t="inlineStr">
        <is>
          <t>L001</t>
        </is>
      </c>
      <c r="D18" s="84" t="n">
        <v>1010203</v>
      </c>
      <c r="E18" s="80" t="inlineStr">
        <is>
          <t>LIJA FIERRO Nº 80-1.1/2</t>
        </is>
      </c>
      <c r="F18" s="67" t="inlineStr">
        <is>
          <t>UN</t>
        </is>
      </c>
      <c r="G18" s="84" t="n">
        <v>38</v>
      </c>
      <c r="H18" s="57" t="inlineStr"/>
      <c r="I18" s="139" t="n">
        <v>51.48</v>
      </c>
      <c r="J18" s="140" t="n">
        <v>1.354736842105263</v>
      </c>
      <c r="K18" s="86" t="inlineStr">
        <is>
          <t>PEN</t>
        </is>
      </c>
    </row>
    <row r="19">
      <c r="A19" s="84" t="n">
        <v>31011246</v>
      </c>
      <c r="B19" s="67" t="inlineStr">
        <is>
          <t>TPSU</t>
        </is>
      </c>
      <c r="C19" s="90" t="inlineStr">
        <is>
          <t>L001</t>
        </is>
      </c>
      <c r="D19" s="84" t="n">
        <v>1010204</v>
      </c>
      <c r="E19" s="80" t="inlineStr">
        <is>
          <t>LIJA FIERRO Nº 100-1</t>
        </is>
      </c>
      <c r="F19" s="67" t="inlineStr">
        <is>
          <t>UN</t>
        </is>
      </c>
      <c r="G19" s="84" t="n">
        <v>14</v>
      </c>
      <c r="H19" s="57" t="inlineStr"/>
      <c r="I19" s="139" t="n">
        <v>20.94</v>
      </c>
      <c r="J19" s="140" t="n">
        <v>1.495714285714286</v>
      </c>
      <c r="K19" s="86" t="inlineStr">
        <is>
          <t>PEN</t>
        </is>
      </c>
    </row>
    <row r="20">
      <c r="A20" s="84" t="n">
        <v>31011246</v>
      </c>
      <c r="B20" s="67" t="inlineStr">
        <is>
          <t>TPSU</t>
        </is>
      </c>
      <c r="C20" s="90" t="inlineStr">
        <is>
          <t>L001</t>
        </is>
      </c>
      <c r="D20" s="84" t="n">
        <v>1010204</v>
      </c>
      <c r="E20" s="80" t="inlineStr">
        <is>
          <t>LIJA FIERRO Nº 100-1</t>
        </is>
      </c>
      <c r="F20" s="67" t="inlineStr">
        <is>
          <t>UN</t>
        </is>
      </c>
      <c r="G20" s="84" t="n">
        <v>4</v>
      </c>
      <c r="H20" s="57" t="inlineStr"/>
      <c r="I20" s="139" t="n">
        <v>4.67</v>
      </c>
      <c r="J20" s="140" t="n">
        <v>1.1675</v>
      </c>
      <c r="K20" s="86" t="inlineStr">
        <is>
          <t>PEN</t>
        </is>
      </c>
    </row>
    <row r="21">
      <c r="A21" s="84" t="n">
        <v>31015425</v>
      </c>
      <c r="B21" s="67" t="inlineStr">
        <is>
          <t>TPSU</t>
        </is>
      </c>
      <c r="C21" s="90" t="inlineStr">
        <is>
          <t>L001</t>
        </is>
      </c>
      <c r="D21" s="84" t="n">
        <v>1010204</v>
      </c>
      <c r="E21" s="80" t="inlineStr">
        <is>
          <t>LIJA FIERRO Nº 120-1/2</t>
        </is>
      </c>
      <c r="F21" s="67" t="inlineStr">
        <is>
          <t>UN</t>
        </is>
      </c>
      <c r="G21" s="84" t="n">
        <v>1</v>
      </c>
      <c r="H21" s="57" t="inlineStr"/>
      <c r="I21" s="139" t="n">
        <v>1.11</v>
      </c>
      <c r="J21" s="140" t="n">
        <v>1.11</v>
      </c>
      <c r="K21" s="86" t="inlineStr">
        <is>
          <t>PEN</t>
        </is>
      </c>
    </row>
    <row r="22">
      <c r="A22" s="84" t="n">
        <v>31015427</v>
      </c>
      <c r="B22" s="67" t="inlineStr">
        <is>
          <t>TPSU</t>
        </is>
      </c>
      <c r="C22" s="90" t="inlineStr">
        <is>
          <t>L001</t>
        </is>
      </c>
      <c r="D22" s="84" t="n">
        <v>1010204</v>
      </c>
      <c r="E22" s="80" t="inlineStr">
        <is>
          <t>LIJA FIERRO Nº 180</t>
        </is>
      </c>
      <c r="F22" s="67" t="inlineStr">
        <is>
          <t>UN</t>
        </is>
      </c>
      <c r="G22" s="84" t="n">
        <v>11</v>
      </c>
      <c r="H22" s="57" t="inlineStr"/>
      <c r="I22" s="139" t="n">
        <v>14.72</v>
      </c>
      <c r="J22" s="140" t="n">
        <v>1.338181818181818</v>
      </c>
      <c r="K22" s="86" t="inlineStr">
        <is>
          <t>PEN</t>
        </is>
      </c>
    </row>
    <row r="23">
      <c r="A23" s="84" t="n">
        <v>31010191</v>
      </c>
      <c r="B23" s="67" t="inlineStr">
        <is>
          <t>TPSU</t>
        </is>
      </c>
      <c r="C23" s="90" t="inlineStr">
        <is>
          <t>L001</t>
        </is>
      </c>
      <c r="D23" s="84" t="n">
        <v>1010301</v>
      </c>
      <c r="E23" s="80" t="inlineStr">
        <is>
          <t>ESCOBILLA COPA 2.1/2" FE.</t>
        </is>
      </c>
      <c r="F23" s="67" t="inlineStr">
        <is>
          <t>UN</t>
        </is>
      </c>
      <c r="G23" s="84" t="n">
        <v>8</v>
      </c>
      <c r="H23" s="57" t="inlineStr"/>
      <c r="I23" s="139" t="n">
        <v>244.83</v>
      </c>
      <c r="J23" s="140" t="n">
        <v>30.60375</v>
      </c>
      <c r="K23" s="86" t="inlineStr">
        <is>
          <t>PEN</t>
        </is>
      </c>
    </row>
    <row r="24">
      <c r="A24" s="84" t="n">
        <v>31010193</v>
      </c>
      <c r="B24" s="67" t="inlineStr">
        <is>
          <t>TPSU</t>
        </is>
      </c>
      <c r="C24" s="90" t="inlineStr">
        <is>
          <t>L001</t>
        </is>
      </c>
      <c r="D24" s="84" t="n">
        <v>1010302</v>
      </c>
      <c r="E24" s="80" t="inlineStr">
        <is>
          <t>ESCOBILLA COPA 4" AC.TRENZ. P/AMOL 7"</t>
        </is>
      </c>
      <c r="F24" s="67" t="inlineStr">
        <is>
          <t>UN</t>
        </is>
      </c>
      <c r="G24" s="84" t="n">
        <v>6</v>
      </c>
      <c r="H24" s="57" t="inlineStr"/>
      <c r="I24" s="139" t="n">
        <v>363.68</v>
      </c>
      <c r="J24" s="140" t="n">
        <v>60.61333333333334</v>
      </c>
      <c r="K24" s="86" t="inlineStr">
        <is>
          <t>PEN</t>
        </is>
      </c>
    </row>
    <row r="25">
      <c r="A25" s="84" t="n">
        <v>31010195</v>
      </c>
      <c r="B25" s="67" t="inlineStr">
        <is>
          <t>TPSU</t>
        </is>
      </c>
      <c r="C25" s="90" t="inlineStr">
        <is>
          <t>L001</t>
        </is>
      </c>
      <c r="D25" s="84" t="n">
        <v>1010302</v>
      </c>
      <c r="E25" s="80" t="inlineStr">
        <is>
          <t>ESCOBILLA DISCO AC.TRENZ P/AMOL 4.1/2"</t>
        </is>
      </c>
      <c r="F25" s="67" t="inlineStr">
        <is>
          <t>UN</t>
        </is>
      </c>
      <c r="G25" s="84" t="n">
        <v>4</v>
      </c>
      <c r="H25" s="57" t="inlineStr"/>
      <c r="I25" s="139" t="n">
        <v>69.59</v>
      </c>
      <c r="J25" s="140" t="n">
        <v>17.3975</v>
      </c>
      <c r="K25" s="86" t="inlineStr">
        <is>
          <t>PEN</t>
        </is>
      </c>
    </row>
    <row r="26">
      <c r="A26" s="84" t="n">
        <v>31009843</v>
      </c>
      <c r="B26" s="67" t="inlineStr">
        <is>
          <t>TPSU</t>
        </is>
      </c>
      <c r="C26" s="90" t="inlineStr">
        <is>
          <t>L001</t>
        </is>
      </c>
      <c r="D26" s="84" t="n">
        <v>1010303</v>
      </c>
      <c r="E26" s="80" t="inlineStr">
        <is>
          <t>LIJA CIRCULAR Nº 40  Ø 4.1/2"</t>
        </is>
      </c>
      <c r="F26" s="67" t="inlineStr">
        <is>
          <t>UN</t>
        </is>
      </c>
      <c r="G26" s="84" t="n">
        <v>37</v>
      </c>
      <c r="H26" s="57" t="inlineStr">
        <is>
          <t>01072025</t>
        </is>
      </c>
      <c r="I26" s="139" t="n">
        <v>427.3</v>
      </c>
      <c r="J26" s="140" t="n">
        <v>11.54864864864865</v>
      </c>
      <c r="K26" s="86" t="inlineStr">
        <is>
          <t>PEN</t>
        </is>
      </c>
    </row>
    <row r="27">
      <c r="A27" s="84" t="n">
        <v>31009843</v>
      </c>
      <c r="B27" s="67" t="inlineStr">
        <is>
          <t>TPSU</t>
        </is>
      </c>
      <c r="C27" s="90" t="inlineStr">
        <is>
          <t>L001</t>
        </is>
      </c>
      <c r="D27" s="84" t="n">
        <v>1010303</v>
      </c>
      <c r="E27" s="80" t="inlineStr">
        <is>
          <t>LIJA CIRCULAR Nº 40  Ø 4.1/2"</t>
        </is>
      </c>
      <c r="F27" s="67" t="inlineStr">
        <is>
          <t>UN</t>
        </is>
      </c>
      <c r="G27" s="84" t="n">
        <v>159</v>
      </c>
      <c r="H27" s="57" t="inlineStr">
        <is>
          <t>117815309</t>
        </is>
      </c>
      <c r="I27" s="139" t="n">
        <v>1836.24</v>
      </c>
      <c r="J27" s="140" t="n">
        <v>11.54867924528302</v>
      </c>
      <c r="K27" s="86" t="inlineStr">
        <is>
          <t>PEN</t>
        </is>
      </c>
    </row>
    <row r="28">
      <c r="A28" s="84" t="n">
        <v>31009822</v>
      </c>
      <c r="B28" s="67" t="inlineStr">
        <is>
          <t>TPSU</t>
        </is>
      </c>
      <c r="C28" s="90" t="inlineStr">
        <is>
          <t>L001</t>
        </is>
      </c>
      <c r="D28" s="84" t="n">
        <v>1010401</v>
      </c>
      <c r="E28" s="80" t="inlineStr">
        <is>
          <t>DISCO CORTE 1/8" X 7/8" X 7" FE.</t>
        </is>
      </c>
      <c r="F28" s="67" t="inlineStr">
        <is>
          <t>UN</t>
        </is>
      </c>
      <c r="G28" s="84" t="n">
        <v>9</v>
      </c>
      <c r="H28" s="57" t="inlineStr">
        <is>
          <t>050725301</t>
        </is>
      </c>
      <c r="I28" s="139" t="n">
        <v>52.79</v>
      </c>
      <c r="J28" s="140" t="n">
        <v>5.865555555555556</v>
      </c>
      <c r="K28" s="86" t="inlineStr">
        <is>
          <t>PEN</t>
        </is>
      </c>
    </row>
    <row r="29">
      <c r="A29" s="84" t="n">
        <v>31009822</v>
      </c>
      <c r="B29" s="67" t="inlineStr">
        <is>
          <t>TPSU</t>
        </is>
      </c>
      <c r="C29" s="90" t="inlineStr">
        <is>
          <t>L001</t>
        </is>
      </c>
      <c r="D29" s="84" t="n">
        <v>1010401</v>
      </c>
      <c r="E29" s="80" t="inlineStr">
        <is>
          <t>DISCO CORTE 1/8" X 7/8" X 7" FE.</t>
        </is>
      </c>
      <c r="F29" s="67" t="inlineStr">
        <is>
          <t>UN</t>
        </is>
      </c>
      <c r="G29" s="84" t="n">
        <v>6</v>
      </c>
      <c r="H29" s="57" t="inlineStr">
        <is>
          <t>060725301</t>
        </is>
      </c>
      <c r="I29" s="139" t="n">
        <v>35.19</v>
      </c>
      <c r="J29" s="140" t="n">
        <v>5.864999999999999</v>
      </c>
      <c r="K29" s="86" t="inlineStr">
        <is>
          <t>PEN</t>
        </is>
      </c>
    </row>
    <row r="30">
      <c r="A30" s="84" t="n">
        <v>31009822</v>
      </c>
      <c r="B30" s="67" t="inlineStr">
        <is>
          <t>TPSU</t>
        </is>
      </c>
      <c r="C30" s="90" t="inlineStr">
        <is>
          <t>L001</t>
        </is>
      </c>
      <c r="D30" s="84" t="n">
        <v>1010401</v>
      </c>
      <c r="E30" s="80" t="inlineStr">
        <is>
          <t>DISCO CORTE 1/8" X 7/8" X 7" FE.</t>
        </is>
      </c>
      <c r="F30" s="67" t="inlineStr">
        <is>
          <t>UN</t>
        </is>
      </c>
      <c r="G30" s="84" t="n">
        <v>10</v>
      </c>
      <c r="H30" s="57" t="inlineStr">
        <is>
          <t>150325301</t>
        </is>
      </c>
      <c r="I30" s="139" t="n">
        <v>58.66</v>
      </c>
      <c r="J30" s="140" t="n">
        <v>5.866</v>
      </c>
      <c r="K30" s="86" t="inlineStr">
        <is>
          <t>PEN</t>
        </is>
      </c>
    </row>
    <row r="31">
      <c r="A31" s="84" t="n">
        <v>31009839</v>
      </c>
      <c r="B31" s="67" t="inlineStr">
        <is>
          <t>TPSU</t>
        </is>
      </c>
      <c r="C31" s="90" t="inlineStr">
        <is>
          <t>L001</t>
        </is>
      </c>
      <c r="D31" s="84" t="n">
        <v>1010401</v>
      </c>
      <c r="E31" s="80" t="inlineStr">
        <is>
          <t>DISCO DESBASTE 1/4"X7/8"X7"</t>
        </is>
      </c>
      <c r="F31" s="67" t="inlineStr">
        <is>
          <t>UN</t>
        </is>
      </c>
      <c r="G31" s="84" t="n">
        <v>4</v>
      </c>
      <c r="H31" s="57" t="inlineStr">
        <is>
          <t>229054101</t>
        </is>
      </c>
      <c r="I31" s="139" t="n">
        <v>43.93</v>
      </c>
      <c r="J31" s="140" t="n">
        <v>10.9825</v>
      </c>
      <c r="K31" s="86" t="inlineStr">
        <is>
          <t>PEN</t>
        </is>
      </c>
    </row>
    <row r="32">
      <c r="A32" s="84" t="n">
        <v>31009839</v>
      </c>
      <c r="B32" s="67" t="inlineStr">
        <is>
          <t>TPSU</t>
        </is>
      </c>
      <c r="C32" s="90" t="inlineStr">
        <is>
          <t>L001</t>
        </is>
      </c>
      <c r="D32" s="84" t="n">
        <v>1010401</v>
      </c>
      <c r="E32" s="80" t="inlineStr">
        <is>
          <t>DISCO DESBASTE 1/4"X7/8"X7"</t>
        </is>
      </c>
      <c r="F32" s="67" t="inlineStr">
        <is>
          <t>UN</t>
        </is>
      </c>
      <c r="G32" s="84" t="n">
        <v>10</v>
      </c>
      <c r="H32" s="57" t="inlineStr">
        <is>
          <t>7600924593</t>
        </is>
      </c>
      <c r="I32" s="139" t="n">
        <v>109.82</v>
      </c>
      <c r="J32" s="140" t="n">
        <v>10.982</v>
      </c>
      <c r="K32" s="86" t="inlineStr">
        <is>
          <t>PEN</t>
        </is>
      </c>
    </row>
    <row r="33">
      <c r="A33" s="84" t="n">
        <v>31009820</v>
      </c>
      <c r="B33" s="67" t="inlineStr">
        <is>
          <t>TPSU</t>
        </is>
      </c>
      <c r="C33" s="90" t="inlineStr">
        <is>
          <t>L001</t>
        </is>
      </c>
      <c r="D33" s="84" t="n">
        <v>1010402</v>
      </c>
      <c r="E33" s="80" t="inlineStr">
        <is>
          <t>DISCO CORTE 1/8" X 7/8" X 4.1/2"FE.</t>
        </is>
      </c>
      <c r="F33" s="67" t="inlineStr">
        <is>
          <t>UN</t>
        </is>
      </c>
      <c r="G33" s="84" t="n">
        <v>20</v>
      </c>
      <c r="H33" s="57" t="inlineStr">
        <is>
          <t>022023</t>
        </is>
      </c>
      <c r="I33" s="139" t="n">
        <v>61.85</v>
      </c>
      <c r="J33" s="140" t="n">
        <v>3.0925</v>
      </c>
      <c r="K33" s="86" t="inlineStr">
        <is>
          <t>PEN</t>
        </is>
      </c>
    </row>
    <row r="34">
      <c r="A34" s="84" t="n">
        <v>31009820</v>
      </c>
      <c r="B34" s="67" t="inlineStr">
        <is>
          <t>TPSU</t>
        </is>
      </c>
      <c r="C34" s="90" t="inlineStr">
        <is>
          <t>L001</t>
        </is>
      </c>
      <c r="D34" s="84" t="n">
        <v>1010402</v>
      </c>
      <c r="E34" s="80" t="inlineStr">
        <is>
          <t>DISCO CORTE 1/8" X 7/8" X 4.1/2"FE.</t>
        </is>
      </c>
      <c r="F34" s="67" t="inlineStr">
        <is>
          <t>UN</t>
        </is>
      </c>
      <c r="G34" s="84" t="n">
        <v>6</v>
      </c>
      <c r="H34" s="57" t="inlineStr">
        <is>
          <t>112022</t>
        </is>
      </c>
      <c r="I34" s="139" t="n">
        <v>18.55</v>
      </c>
      <c r="J34" s="140" t="n">
        <v>3.091666666666667</v>
      </c>
      <c r="K34" s="86" t="inlineStr">
        <is>
          <t>PEN</t>
        </is>
      </c>
    </row>
    <row r="35">
      <c r="A35" s="84" t="n">
        <v>31009838</v>
      </c>
      <c r="B35" s="67" t="inlineStr">
        <is>
          <t>TPSU</t>
        </is>
      </c>
      <c r="C35" s="90" t="inlineStr">
        <is>
          <t>L001</t>
        </is>
      </c>
      <c r="D35" s="84" t="n">
        <v>1010402</v>
      </c>
      <c r="E35" s="80" t="inlineStr">
        <is>
          <t>DISCO DESBASTE 1/4"X7/8"X4.1/2"FE.</t>
        </is>
      </c>
      <c r="F35" s="67" t="inlineStr">
        <is>
          <t>UN</t>
        </is>
      </c>
      <c r="G35" s="84" t="n">
        <v>23</v>
      </c>
      <c r="H35" s="57" t="inlineStr">
        <is>
          <t>102021</t>
        </is>
      </c>
      <c r="I35" s="139" t="n">
        <v>105.97</v>
      </c>
      <c r="J35" s="140" t="n">
        <v>4.607391304347826</v>
      </c>
      <c r="K35" s="86" t="inlineStr">
        <is>
          <t>PEN</t>
        </is>
      </c>
    </row>
    <row r="36">
      <c r="A36" s="84" t="n">
        <v>31009838</v>
      </c>
      <c r="B36" s="67" t="inlineStr">
        <is>
          <t>TPSU</t>
        </is>
      </c>
      <c r="C36" s="90" t="inlineStr">
        <is>
          <t>L001</t>
        </is>
      </c>
      <c r="D36" s="84" t="n">
        <v>1010402</v>
      </c>
      <c r="E36" s="80" t="inlineStr">
        <is>
          <t>DISCO DESBASTE 1/4"X7/8"X4.1/2"FE.</t>
        </is>
      </c>
      <c r="F36" s="67" t="inlineStr">
        <is>
          <t>UN</t>
        </is>
      </c>
      <c r="G36" s="84" t="n">
        <v>24</v>
      </c>
      <c r="H36" s="57" t="inlineStr">
        <is>
          <t>V07/2024</t>
        </is>
      </c>
      <c r="I36" s="139" t="n">
        <v>110.57</v>
      </c>
      <c r="J36" s="140" t="n">
        <v>4.607083333333333</v>
      </c>
      <c r="K36" s="86" t="inlineStr">
        <is>
          <t>PEN</t>
        </is>
      </c>
    </row>
    <row r="37">
      <c r="A37" s="84" t="n">
        <v>31009821</v>
      </c>
      <c r="B37" s="67" t="inlineStr">
        <is>
          <t>TPSU</t>
        </is>
      </c>
      <c r="C37" s="90" t="inlineStr">
        <is>
          <t>L001</t>
        </is>
      </c>
      <c r="D37" s="84" t="n">
        <v>1010403</v>
      </c>
      <c r="E37" s="80" t="inlineStr">
        <is>
          <t>DISCO CORTE 1/8" X 7/8" X 4.1/2" INOX.</t>
        </is>
      </c>
      <c r="F37" s="67" t="inlineStr">
        <is>
          <t>UN</t>
        </is>
      </c>
      <c r="G37" s="84" t="n">
        <v>61</v>
      </c>
      <c r="H37" s="57" t="inlineStr">
        <is>
          <t>102022</t>
        </is>
      </c>
      <c r="I37" s="139" t="n">
        <v>273.13</v>
      </c>
      <c r="J37" s="140" t="n">
        <v>4.477540983606557</v>
      </c>
      <c r="K37" s="86" t="inlineStr">
        <is>
          <t>PEN</t>
        </is>
      </c>
    </row>
    <row r="38">
      <c r="A38" s="84" t="n">
        <v>31009837</v>
      </c>
      <c r="B38" s="67" t="inlineStr">
        <is>
          <t>TPSU</t>
        </is>
      </c>
      <c r="C38" s="90" t="inlineStr">
        <is>
          <t>L001</t>
        </is>
      </c>
      <c r="D38" s="84" t="n">
        <v>1010403</v>
      </c>
      <c r="E38" s="80" t="inlineStr">
        <is>
          <t>DISCO DESBASTE 1/4" X 7/8"X 4.1/2" INOX.</t>
        </is>
      </c>
      <c r="F38" s="67" t="inlineStr">
        <is>
          <t>UN</t>
        </is>
      </c>
      <c r="G38" s="84" t="n">
        <v>18</v>
      </c>
      <c r="H38" s="57" t="inlineStr">
        <is>
          <t>261266/01</t>
        </is>
      </c>
      <c r="I38" s="139" t="n">
        <v>166.12</v>
      </c>
      <c r="J38" s="140" t="n">
        <v>9.228888888888889</v>
      </c>
      <c r="K38" s="86" t="inlineStr">
        <is>
          <t>PEN</t>
        </is>
      </c>
    </row>
    <row r="39">
      <c r="A39" s="84" t="n">
        <v>31009823</v>
      </c>
      <c r="B39" s="67" t="inlineStr">
        <is>
          <t>TPSU</t>
        </is>
      </c>
      <c r="C39" s="90" t="inlineStr">
        <is>
          <t>L001</t>
        </is>
      </c>
      <c r="D39" s="84" t="n">
        <v>1010404</v>
      </c>
      <c r="E39" s="80" t="inlineStr">
        <is>
          <t>DISCO CORTE 1/8" X 7/8" X 7" INOX.</t>
        </is>
      </c>
      <c r="F39" s="67" t="inlineStr">
        <is>
          <t>UN</t>
        </is>
      </c>
      <c r="G39" s="84" t="n">
        <v>13</v>
      </c>
      <c r="H39" s="57" t="inlineStr">
        <is>
          <t>V10/24</t>
        </is>
      </c>
      <c r="I39" s="139" t="n">
        <v>123.5</v>
      </c>
      <c r="J39" s="140" t="n">
        <v>9.5</v>
      </c>
      <c r="K39" s="86" t="inlineStr">
        <is>
          <t>PEN</t>
        </is>
      </c>
    </row>
    <row r="40">
      <c r="A40" s="84" t="n">
        <v>31009836</v>
      </c>
      <c r="B40" s="67" t="inlineStr">
        <is>
          <t>TPSU</t>
        </is>
      </c>
      <c r="C40" s="90" t="inlineStr">
        <is>
          <t>L001</t>
        </is>
      </c>
      <c r="D40" s="84" t="n">
        <v>1010404</v>
      </c>
      <c r="E40" s="80" t="inlineStr">
        <is>
          <t>DISCO DESBASTE 1/4" X 7/8" X 7" INOX.</t>
        </is>
      </c>
      <c r="F40" s="67" t="inlineStr">
        <is>
          <t>UN</t>
        </is>
      </c>
      <c r="G40" s="84" t="n">
        <v>13</v>
      </c>
      <c r="H40" s="57" t="inlineStr">
        <is>
          <t>116345712</t>
        </is>
      </c>
      <c r="I40" s="139" t="n">
        <v>348.91</v>
      </c>
      <c r="J40" s="140" t="n">
        <v>26.83923076923077</v>
      </c>
      <c r="K40" s="86" t="inlineStr">
        <is>
          <t>PEN</t>
        </is>
      </c>
    </row>
    <row r="41">
      <c r="A41" s="84" t="n">
        <v>31009827</v>
      </c>
      <c r="B41" s="67" t="inlineStr">
        <is>
          <t>TPSU</t>
        </is>
      </c>
      <c r="C41" s="90" t="inlineStr">
        <is>
          <t>L001</t>
        </is>
      </c>
      <c r="D41" s="84" t="n">
        <v>1010405</v>
      </c>
      <c r="E41" s="80" t="inlineStr">
        <is>
          <t>DISCO CORTE 7/64” X 1” X 14”</t>
        </is>
      </c>
      <c r="F41" s="67" t="inlineStr">
        <is>
          <t>UN</t>
        </is>
      </c>
      <c r="G41" s="84" t="n">
        <v>2</v>
      </c>
      <c r="H41" s="57" t="inlineStr">
        <is>
          <t>072022</t>
        </is>
      </c>
      <c r="I41" s="139" t="n">
        <v>33.54</v>
      </c>
      <c r="J41" s="140" t="n">
        <v>16.77</v>
      </c>
      <c r="K41" s="86" t="inlineStr">
        <is>
          <t>PEN</t>
        </is>
      </c>
    </row>
    <row r="42">
      <c r="A42" s="84" t="n">
        <v>31009827</v>
      </c>
      <c r="B42" s="67" t="inlineStr">
        <is>
          <t>TPSU</t>
        </is>
      </c>
      <c r="C42" s="90" t="inlineStr">
        <is>
          <t>L001</t>
        </is>
      </c>
      <c r="D42" s="84" t="n">
        <v>1010405</v>
      </c>
      <c r="E42" s="80" t="inlineStr">
        <is>
          <t>DISCO CORTE 7/64” X 1” X 14”</t>
        </is>
      </c>
      <c r="F42" s="67" t="inlineStr">
        <is>
          <t>UN</t>
        </is>
      </c>
      <c r="G42" s="84" t="n">
        <v>20</v>
      </c>
      <c r="H42" s="57" t="inlineStr">
        <is>
          <t>117242089</t>
        </is>
      </c>
      <c r="I42" s="139" t="n">
        <v>335.45</v>
      </c>
      <c r="J42" s="140" t="n">
        <v>16.7725</v>
      </c>
      <c r="K42" s="86" t="inlineStr">
        <is>
          <t>PEN</t>
        </is>
      </c>
    </row>
    <row r="43">
      <c r="A43" s="84" t="n">
        <v>31027550</v>
      </c>
      <c r="B43" s="67" t="inlineStr">
        <is>
          <t>TPSU</t>
        </is>
      </c>
      <c r="C43" s="90" t="inlineStr">
        <is>
          <t>L001</t>
        </is>
      </c>
      <c r="D43" s="84" t="n">
        <v>1010405</v>
      </c>
      <c r="E43" s="80" t="inlineStr">
        <is>
          <t>DISCO PLASTICO P/AMOLADORA 4 1/2"</t>
        </is>
      </c>
      <c r="F43" s="67" t="inlineStr">
        <is>
          <t>UN</t>
        </is>
      </c>
      <c r="G43" s="84" t="n">
        <v>20</v>
      </c>
      <c r="H43" s="57" t="inlineStr"/>
      <c r="I43" s="139" t="n">
        <v>198.89</v>
      </c>
      <c r="J43" s="140" t="n">
        <v>9.9445</v>
      </c>
      <c r="K43" s="86" t="inlineStr">
        <is>
          <t>PEN</t>
        </is>
      </c>
    </row>
    <row r="44">
      <c r="A44" s="84" t="n">
        <v>33031911</v>
      </c>
      <c r="B44" s="67" t="inlineStr">
        <is>
          <t>TPSU</t>
        </is>
      </c>
      <c r="C44" s="90" t="inlineStr">
        <is>
          <t>L004</t>
        </is>
      </c>
      <c r="D44" s="84" t="n">
        <v>1010501</v>
      </c>
      <c r="E44" s="80" t="inlineStr">
        <is>
          <t>EJE DE ACERO INOXIDABLE 1/2" X 20'</t>
        </is>
      </c>
      <c r="F44" s="67" t="inlineStr">
        <is>
          <t>UN</t>
        </is>
      </c>
      <c r="G44" s="84" t="n">
        <v>1</v>
      </c>
      <c r="H44" s="57" t="inlineStr"/>
      <c r="I44" s="139" t="n">
        <v>69.83</v>
      </c>
      <c r="J44" s="140" t="n">
        <v>69.83</v>
      </c>
      <c r="K44" s="86" t="inlineStr">
        <is>
          <t>PEN</t>
        </is>
      </c>
    </row>
    <row r="45">
      <c r="A45" s="84" t="n">
        <v>33040757</v>
      </c>
      <c r="B45" s="67" t="inlineStr">
        <is>
          <t>TPSU</t>
        </is>
      </c>
      <c r="C45" s="90" t="inlineStr">
        <is>
          <t>L001</t>
        </is>
      </c>
      <c r="D45" s="84" t="n">
        <v>1010501</v>
      </c>
      <c r="E45" s="80" t="inlineStr">
        <is>
          <t>MANG. NEUM. 8/6 MM</t>
        </is>
      </c>
      <c r="F45" s="67" t="inlineStr">
        <is>
          <t>M</t>
        </is>
      </c>
      <c r="G45" s="84" t="n">
        <v>100</v>
      </c>
      <c r="H45" s="57" t="inlineStr"/>
      <c r="I45" s="139" t="n">
        <v>686</v>
      </c>
      <c r="J45" s="140" t="n">
        <v>6.86</v>
      </c>
      <c r="K45" s="86" t="inlineStr">
        <is>
          <t>PEN</t>
        </is>
      </c>
    </row>
    <row r="46">
      <c r="A46" s="84" t="n">
        <v>33040766</v>
      </c>
      <c r="B46" s="67" t="inlineStr">
        <is>
          <t>TPSU</t>
        </is>
      </c>
      <c r="C46" s="90" t="inlineStr">
        <is>
          <t>L001</t>
        </is>
      </c>
      <c r="D46" s="84" t="n">
        <v>1010501</v>
      </c>
      <c r="E46" s="80" t="inlineStr">
        <is>
          <t>MANG. OD 6MM X ID 4MM POLIURETANO</t>
        </is>
      </c>
      <c r="F46" s="67" t="inlineStr">
        <is>
          <t>M</t>
        </is>
      </c>
      <c r="G46" s="84" t="n">
        <v>10</v>
      </c>
      <c r="H46" s="57" t="inlineStr"/>
      <c r="I46" s="139" t="n">
        <v>32.79</v>
      </c>
      <c r="J46" s="140" t="n">
        <v>3.279</v>
      </c>
      <c r="K46" s="86" t="inlineStr">
        <is>
          <t>PEN</t>
        </is>
      </c>
    </row>
    <row r="47">
      <c r="A47" s="84" t="n">
        <v>33031433</v>
      </c>
      <c r="B47" s="82" t="inlineStr">
        <is>
          <t>TPSU</t>
        </is>
      </c>
      <c r="C47" s="82" t="inlineStr">
        <is>
          <t>L001</t>
        </is>
      </c>
      <c r="D47" s="84" t="n">
        <v>1010502</v>
      </c>
      <c r="E47" s="80" t="inlineStr">
        <is>
          <t>CONECTOR RAPIDO RECTO G 1/4" D.E.6MM</t>
        </is>
      </c>
      <c r="F47" s="67" t="inlineStr">
        <is>
          <t>UN</t>
        </is>
      </c>
      <c r="G47" s="84" t="n">
        <v>3</v>
      </c>
      <c r="H47" s="57" t="inlineStr"/>
      <c r="I47" s="139" t="n">
        <v>18.15</v>
      </c>
      <c r="J47" s="140" t="n">
        <v>6.05</v>
      </c>
      <c r="K47" s="86" t="inlineStr">
        <is>
          <t>PEN</t>
        </is>
      </c>
    </row>
    <row r="48">
      <c r="A48" s="84" t="n">
        <v>33031454</v>
      </c>
      <c r="B48" s="82" t="inlineStr">
        <is>
          <t>TPSU</t>
        </is>
      </c>
      <c r="C48" s="82" t="inlineStr">
        <is>
          <t>L001</t>
        </is>
      </c>
      <c r="D48" s="84" t="n">
        <v>1010502</v>
      </c>
      <c r="E48" s="80" t="inlineStr">
        <is>
          <t>CONECTOR RAPIDO RECTO G3/8" OD 10MM IN</t>
        </is>
      </c>
      <c r="F48" s="67" t="inlineStr">
        <is>
          <t>UN</t>
        </is>
      </c>
      <c r="G48" s="84" t="n">
        <v>1</v>
      </c>
      <c r="H48" s="57" t="inlineStr"/>
      <c r="I48" s="139" t="n">
        <v>52.8</v>
      </c>
      <c r="J48" s="140" t="n">
        <v>52.8</v>
      </c>
      <c r="K48" s="86" t="inlineStr">
        <is>
          <t>PEN</t>
        </is>
      </c>
    </row>
    <row r="49">
      <c r="A49" s="84" t="n">
        <v>33031454</v>
      </c>
      <c r="B49" s="82" t="inlineStr">
        <is>
          <t>TPSU</t>
        </is>
      </c>
      <c r="C49" s="82" t="inlineStr">
        <is>
          <t>L001</t>
        </is>
      </c>
      <c r="D49" s="84" t="n">
        <v>1010502</v>
      </c>
      <c r="E49" s="80" t="inlineStr">
        <is>
          <t>CONECTOR RAPIDO RECTO G3/8" OD 10MM IN</t>
        </is>
      </c>
      <c r="F49" s="67" t="inlineStr">
        <is>
          <t>UN</t>
        </is>
      </c>
      <c r="G49" s="84" t="n">
        <v>1</v>
      </c>
      <c r="H49" s="57" t="inlineStr"/>
      <c r="I49" s="139" t="n">
        <v>47.52</v>
      </c>
      <c r="J49" s="140" t="n">
        <v>47.52</v>
      </c>
      <c r="K49" s="86" t="inlineStr">
        <is>
          <t>PEN</t>
        </is>
      </c>
    </row>
    <row r="50">
      <c r="A50" s="84" t="n">
        <v>33031461</v>
      </c>
      <c r="B50" s="82" t="inlineStr">
        <is>
          <t>TPSU</t>
        </is>
      </c>
      <c r="C50" s="82" t="inlineStr">
        <is>
          <t>L001</t>
        </is>
      </c>
      <c r="D50" s="84" t="n">
        <v>1010502</v>
      </c>
      <c r="E50" s="80" t="inlineStr">
        <is>
          <t>CONECTOR RAPIDO RECTO PASAMURO OD 10MM</t>
        </is>
      </c>
      <c r="F50" s="67" t="inlineStr">
        <is>
          <t>UN</t>
        </is>
      </c>
      <c r="G50" s="84" t="n">
        <v>9</v>
      </c>
      <c r="H50" s="57" t="inlineStr"/>
      <c r="I50" s="139" t="n">
        <v>193.5</v>
      </c>
      <c r="J50" s="140" t="n">
        <v>21.5</v>
      </c>
      <c r="K50" s="86" t="inlineStr">
        <is>
          <t>PEN</t>
        </is>
      </c>
    </row>
    <row r="51">
      <c r="A51" s="84" t="n">
        <v>33031407</v>
      </c>
      <c r="B51" s="82" t="inlineStr">
        <is>
          <t>TPSU</t>
        </is>
      </c>
      <c r="C51" s="82" t="inlineStr">
        <is>
          <t>L001</t>
        </is>
      </c>
      <c r="D51" s="84" t="n">
        <v>1010503</v>
      </c>
      <c r="E51" s="80" t="inlineStr">
        <is>
          <t>CONECTOR RAPIDO 90° ORIENT.G1/4" OD 10</t>
        </is>
      </c>
      <c r="F51" s="67" t="inlineStr">
        <is>
          <t>UN</t>
        </is>
      </c>
      <c r="G51" s="84" t="n">
        <v>15</v>
      </c>
      <c r="H51" s="57" t="inlineStr"/>
      <c r="I51" s="139" t="n">
        <v>200.19</v>
      </c>
      <c r="J51" s="140" t="n">
        <v>13.346</v>
      </c>
      <c r="K51" s="86" t="inlineStr">
        <is>
          <t>PEN</t>
        </is>
      </c>
    </row>
    <row r="52">
      <c r="A52" s="84" t="n">
        <v>33031407</v>
      </c>
      <c r="B52" s="67" t="inlineStr">
        <is>
          <t>TPSU</t>
        </is>
      </c>
      <c r="C52" s="90" t="inlineStr">
        <is>
          <t>L001</t>
        </is>
      </c>
      <c r="D52" s="84" t="n">
        <v>1010503</v>
      </c>
      <c r="E52" s="80" t="inlineStr">
        <is>
          <t>CONECTOR RAPIDO 90° ORIENT.G1/4" OD 10</t>
        </is>
      </c>
      <c r="F52" s="67" t="inlineStr">
        <is>
          <t>UN</t>
        </is>
      </c>
      <c r="G52" s="84" t="n">
        <v>1</v>
      </c>
      <c r="H52" s="57" t="inlineStr"/>
      <c r="I52" s="139" t="n">
        <v>12.88</v>
      </c>
      <c r="J52" s="140" t="n">
        <v>12.88</v>
      </c>
      <c r="K52" s="86" t="inlineStr">
        <is>
          <t>PEN</t>
        </is>
      </c>
    </row>
    <row r="53">
      <c r="A53" s="84" t="n">
        <v>33031408</v>
      </c>
      <c r="B53" s="67" t="inlineStr">
        <is>
          <t>TPSU</t>
        </is>
      </c>
      <c r="C53" s="90" t="inlineStr">
        <is>
          <t>L001</t>
        </is>
      </c>
      <c r="D53" s="84" t="n">
        <v>1010503</v>
      </c>
      <c r="E53" s="80" t="inlineStr">
        <is>
          <t>CONECTOR RAPIDO 90° ORIENT.G1/4" OD 6M</t>
        </is>
      </c>
      <c r="F53" s="67" t="inlineStr">
        <is>
          <t>UN</t>
        </is>
      </c>
      <c r="G53" s="84" t="n">
        <v>6</v>
      </c>
      <c r="H53" s="57" t="inlineStr"/>
      <c r="I53" s="139" t="n">
        <v>59.03</v>
      </c>
      <c r="J53" s="140" t="n">
        <v>9.838333333333333</v>
      </c>
      <c r="K53" s="86" t="inlineStr">
        <is>
          <t>PEN</t>
        </is>
      </c>
    </row>
    <row r="54">
      <c r="A54" s="84" t="n">
        <v>33031409</v>
      </c>
      <c r="B54" s="67" t="inlineStr">
        <is>
          <t>TPSU</t>
        </is>
      </c>
      <c r="C54" s="90" t="inlineStr">
        <is>
          <t>L004</t>
        </is>
      </c>
      <c r="D54" s="84" t="n">
        <v>1010503</v>
      </c>
      <c r="E54" s="80" t="inlineStr">
        <is>
          <t>CONECTOR RAPIDO 90° ORIENT.G3/8" OD 6M</t>
        </is>
      </c>
      <c r="F54" s="67" t="inlineStr">
        <is>
          <t>UN</t>
        </is>
      </c>
      <c r="G54" s="84" t="n">
        <v>5</v>
      </c>
      <c r="H54" s="57" t="inlineStr"/>
      <c r="I54" s="139" t="n">
        <v>121.19</v>
      </c>
      <c r="J54" s="140" t="n">
        <v>24.238</v>
      </c>
      <c r="K54" s="86" t="inlineStr">
        <is>
          <t>PEN</t>
        </is>
      </c>
    </row>
    <row r="55">
      <c r="A55" s="84" t="n">
        <v>33030146</v>
      </c>
      <c r="B55" s="67" t="inlineStr">
        <is>
          <t>TPSU</t>
        </is>
      </c>
      <c r="C55" s="90" t="inlineStr">
        <is>
          <t>L001</t>
        </is>
      </c>
      <c r="D55" s="84" t="n">
        <v>1010504</v>
      </c>
      <c r="E55" s="80" t="inlineStr">
        <is>
          <t>BASE MANIFOLD COMPACTO 3/8" VFS3120</t>
        </is>
      </c>
      <c r="F55" s="67" t="inlineStr">
        <is>
          <t>UN</t>
        </is>
      </c>
      <c r="G55" s="84" t="n">
        <v>1</v>
      </c>
      <c r="H55" s="57" t="inlineStr"/>
      <c r="I55" s="139" t="n">
        <v>322.94</v>
      </c>
      <c r="J55" s="140" t="n">
        <v>322.94</v>
      </c>
      <c r="K55" s="86" t="inlineStr">
        <is>
          <t>PEN</t>
        </is>
      </c>
    </row>
    <row r="56">
      <c r="A56" s="84" t="n">
        <v>33030146</v>
      </c>
      <c r="B56" s="67" t="inlineStr">
        <is>
          <t>TPSU</t>
        </is>
      </c>
      <c r="C56" s="90" t="inlineStr">
        <is>
          <t>L004</t>
        </is>
      </c>
      <c r="D56" s="84" t="n">
        <v>1010504</v>
      </c>
      <c r="E56" s="80" t="inlineStr">
        <is>
          <t>BASE MANIFOLD COMPACTO 3/8" VFS3120</t>
        </is>
      </c>
      <c r="F56" s="67" t="inlineStr">
        <is>
          <t>UN</t>
        </is>
      </c>
      <c r="G56" s="84" t="n">
        <v>1</v>
      </c>
      <c r="H56" s="57" t="inlineStr"/>
      <c r="I56" s="139" t="n">
        <v>322.94</v>
      </c>
      <c r="J56" s="140" t="n">
        <v>322.94</v>
      </c>
      <c r="K56" s="86" t="inlineStr">
        <is>
          <t>PEN</t>
        </is>
      </c>
    </row>
    <row r="57">
      <c r="A57" s="84" t="n">
        <v>33033141</v>
      </c>
      <c r="B57" s="67" t="inlineStr">
        <is>
          <t>TPSU</t>
        </is>
      </c>
      <c r="C57" s="90" t="inlineStr">
        <is>
          <t>L001</t>
        </is>
      </c>
      <c r="D57" s="84" t="n">
        <v>1010504</v>
      </c>
      <c r="E57" s="80" t="inlineStr">
        <is>
          <t>FILTRO REGULADOR 3/8" 0.5 A 8.5KGF 5µ</t>
        </is>
      </c>
      <c r="F57" s="67" t="inlineStr">
        <is>
          <t>UN</t>
        </is>
      </c>
      <c r="G57" s="84" t="n">
        <v>1</v>
      </c>
      <c r="H57" s="57" t="inlineStr">
        <is>
          <t>001-004399</t>
        </is>
      </c>
      <c r="I57" s="139" t="n">
        <v>317.64</v>
      </c>
      <c r="J57" s="140" t="n">
        <v>317.64</v>
      </c>
      <c r="K57" s="86" t="inlineStr">
        <is>
          <t>PEN</t>
        </is>
      </c>
    </row>
    <row r="58">
      <c r="A58" s="84" t="n">
        <v>33033141</v>
      </c>
      <c r="B58" s="67" t="inlineStr">
        <is>
          <t>TPSU</t>
        </is>
      </c>
      <c r="C58" s="90" t="inlineStr">
        <is>
          <t>L001</t>
        </is>
      </c>
      <c r="D58" s="84" t="n">
        <v>1010504</v>
      </c>
      <c r="E58" s="80" t="inlineStr">
        <is>
          <t>FILTRO REGULADOR 3/8" 0.5 A 8.5KGF 5µ</t>
        </is>
      </c>
      <c r="F58" s="67" t="inlineStr">
        <is>
          <t>UN</t>
        </is>
      </c>
      <c r="G58" s="84" t="n">
        <v>1</v>
      </c>
      <c r="H58" s="57" t="inlineStr">
        <is>
          <t>GR1 27556</t>
        </is>
      </c>
      <c r="I58" s="139" t="n">
        <v>317.64</v>
      </c>
      <c r="J58" s="140" t="n">
        <v>317.64</v>
      </c>
      <c r="K58" s="86" t="inlineStr">
        <is>
          <t>PEN</t>
        </is>
      </c>
    </row>
    <row r="59">
      <c r="A59" s="84" t="n">
        <v>33038504</v>
      </c>
      <c r="B59" s="67" t="inlineStr">
        <is>
          <t>TPSU</t>
        </is>
      </c>
      <c r="C59" s="90" t="inlineStr">
        <is>
          <t>L004</t>
        </is>
      </c>
      <c r="D59" s="84" t="n">
        <v>1010505</v>
      </c>
      <c r="E59" s="80" t="inlineStr">
        <is>
          <t>SENSOR TEMP. PT-100 RTD 500°C L9"X1/2N</t>
        </is>
      </c>
      <c r="F59" s="67" t="inlineStr">
        <is>
          <t>UN</t>
        </is>
      </c>
      <c r="G59" s="84" t="n">
        <v>1</v>
      </c>
      <c r="H59" s="57" t="inlineStr"/>
      <c r="I59" s="139" t="n">
        <v>477.49</v>
      </c>
      <c r="J59" s="140" t="n">
        <v>477.49</v>
      </c>
      <c r="K59" s="86" t="inlineStr">
        <is>
          <t>PEN</t>
        </is>
      </c>
    </row>
    <row r="60">
      <c r="A60" s="84" t="n">
        <v>33041726</v>
      </c>
      <c r="B60" s="67" t="inlineStr">
        <is>
          <t>TPSU</t>
        </is>
      </c>
      <c r="C60" s="90" t="inlineStr">
        <is>
          <t>L004</t>
        </is>
      </c>
      <c r="D60" s="84" t="n">
        <v>1010505</v>
      </c>
      <c r="E60" s="80" t="inlineStr">
        <is>
          <t>TERMOCUPLA T/"K" 12"XØ15MM"BULBO AC.CRAL</t>
        </is>
      </c>
      <c r="F60" s="67" t="inlineStr">
        <is>
          <t>UN</t>
        </is>
      </c>
      <c r="G60" s="84" t="n">
        <v>1</v>
      </c>
      <c r="H60" s="57" t="inlineStr"/>
      <c r="I60" s="139" t="n">
        <v>1040.57</v>
      </c>
      <c r="J60" s="140" t="n">
        <v>1040.57</v>
      </c>
      <c r="K60" s="86" t="inlineStr">
        <is>
          <t>PEN</t>
        </is>
      </c>
    </row>
    <row r="61">
      <c r="A61" s="84" t="n">
        <v>33039433</v>
      </c>
      <c r="B61" s="67" t="inlineStr">
        <is>
          <t>TPSU</t>
        </is>
      </c>
      <c r="C61" s="90" t="inlineStr">
        <is>
          <t>L004</t>
        </is>
      </c>
      <c r="D61" s="84" t="n">
        <v>1010505</v>
      </c>
      <c r="E61" s="80" t="inlineStr">
        <is>
          <t>TRANSMISOR TEMP. TERMOCUPLA 4-20MA TH200</t>
        </is>
      </c>
      <c r="F61" s="67" t="inlineStr">
        <is>
          <t>UN</t>
        </is>
      </c>
      <c r="G61" s="84" t="n">
        <v>1</v>
      </c>
      <c r="H61" s="57" t="inlineStr"/>
      <c r="I61" s="139" t="n">
        <v>580.3</v>
      </c>
      <c r="J61" s="140" t="n">
        <v>580.3</v>
      </c>
      <c r="K61" s="86" t="inlineStr">
        <is>
          <t>PEN</t>
        </is>
      </c>
    </row>
    <row r="62">
      <c r="A62" s="84" t="n">
        <v>34002846</v>
      </c>
      <c r="B62" s="67" t="inlineStr">
        <is>
          <t>TPSU</t>
        </is>
      </c>
      <c r="C62" s="90" t="inlineStr">
        <is>
          <t>L001</t>
        </is>
      </c>
      <c r="D62" s="84" t="n">
        <v>1010602</v>
      </c>
      <c r="E62" s="80" t="inlineStr">
        <is>
          <t>GASKET 529628 01</t>
        </is>
      </c>
      <c r="F62" s="67" t="inlineStr">
        <is>
          <t>UN</t>
        </is>
      </c>
      <c r="G62" s="84" t="n">
        <v>2</v>
      </c>
      <c r="H62" s="57" t="inlineStr"/>
      <c r="I62" s="139" t="n">
        <v>730.22</v>
      </c>
      <c r="J62" s="140" t="n">
        <v>365.11</v>
      </c>
      <c r="K62" s="86" t="inlineStr">
        <is>
          <t>PEN</t>
        </is>
      </c>
    </row>
    <row r="63">
      <c r="A63" s="84" t="n">
        <v>33035995</v>
      </c>
      <c r="B63" s="67" t="inlineStr">
        <is>
          <t>TPSU</t>
        </is>
      </c>
      <c r="C63" s="90" t="inlineStr">
        <is>
          <t>L001</t>
        </is>
      </c>
      <c r="D63" s="84" t="n">
        <v>1010602</v>
      </c>
      <c r="E63" s="80" t="inlineStr">
        <is>
          <t>PLC COMPACT LOGIX MOD1769-SM2 #833-03099</t>
        </is>
      </c>
      <c r="F63" s="67" t="inlineStr">
        <is>
          <t>UN</t>
        </is>
      </c>
      <c r="G63" s="84" t="n">
        <v>1</v>
      </c>
      <c r="H63" s="57" t="inlineStr"/>
      <c r="I63" s="139" t="n">
        <v>3564.13</v>
      </c>
      <c r="J63" s="140" t="n">
        <v>3564.13</v>
      </c>
      <c r="K63" s="86" t="inlineStr">
        <is>
          <t>PEN</t>
        </is>
      </c>
    </row>
    <row r="64">
      <c r="A64" s="84" t="n">
        <v>32005233</v>
      </c>
      <c r="B64" s="67" t="inlineStr">
        <is>
          <t>TPSU</t>
        </is>
      </c>
      <c r="C64" s="90" t="inlineStr">
        <is>
          <t>L001</t>
        </is>
      </c>
      <c r="D64" s="84" t="n">
        <v>1010602</v>
      </c>
      <c r="E64" s="80" t="inlineStr">
        <is>
          <t>TARJETA ELECTRONICA PROSCAN COLORIMETRO</t>
        </is>
      </c>
      <c r="F64" s="67" t="inlineStr">
        <is>
          <t>UN</t>
        </is>
      </c>
      <c r="G64" s="84" t="n">
        <v>1</v>
      </c>
      <c r="H64" s="57" t="inlineStr"/>
      <c r="I64" s="139" t="n">
        <v>2417.35</v>
      </c>
      <c r="J64" s="140" t="n">
        <v>2417.35</v>
      </c>
      <c r="K64" s="86" t="inlineStr">
        <is>
          <t>PEN</t>
        </is>
      </c>
    </row>
    <row r="65">
      <c r="A65" s="84" t="n">
        <v>31008299</v>
      </c>
      <c r="B65" s="67" t="inlineStr">
        <is>
          <t>TPSU</t>
        </is>
      </c>
      <c r="C65" s="90" t="inlineStr">
        <is>
          <t>L001</t>
        </is>
      </c>
      <c r="D65" s="84" t="n">
        <v>1010603</v>
      </c>
      <c r="E65" s="80" t="inlineStr">
        <is>
          <t>AGUJA PUNTA REDONDA P/CABEZAL C100R  2.5</t>
        </is>
      </c>
      <c r="F65" s="67" t="inlineStr">
        <is>
          <t>UN</t>
        </is>
      </c>
      <c r="G65" s="84" t="n">
        <v>25</v>
      </c>
      <c r="H65" s="57" t="inlineStr"/>
      <c r="I65" s="139" t="n">
        <v>508.53</v>
      </c>
      <c r="J65" s="140" t="n">
        <v>20.3412</v>
      </c>
      <c r="K65" s="86" t="inlineStr">
        <is>
          <t>PEN</t>
        </is>
      </c>
    </row>
    <row r="66">
      <c r="A66" s="84" t="n">
        <v>33040881</v>
      </c>
      <c r="B66" s="67" t="inlineStr">
        <is>
          <t>TPSU</t>
        </is>
      </c>
      <c r="C66" s="90" t="inlineStr">
        <is>
          <t>L001</t>
        </is>
      </c>
      <c r="D66" s="84" t="n">
        <v>1010603</v>
      </c>
      <c r="E66" s="80" t="inlineStr">
        <is>
          <t>PUMP 1U-5718</t>
        </is>
      </c>
      <c r="F66" s="67" t="inlineStr">
        <is>
          <t>UN</t>
        </is>
      </c>
      <c r="G66" s="84" t="n">
        <v>1</v>
      </c>
      <c r="H66" s="57" t="inlineStr"/>
      <c r="I66" s="139" t="n">
        <v>159.89</v>
      </c>
      <c r="J66" s="140" t="n">
        <v>159.89</v>
      </c>
      <c r="K66" s="86" t="inlineStr">
        <is>
          <t>PEN</t>
        </is>
      </c>
    </row>
    <row r="67">
      <c r="A67" s="84" t="n">
        <v>31009999</v>
      </c>
      <c r="B67" s="67" t="inlineStr">
        <is>
          <t>TPSU</t>
        </is>
      </c>
      <c r="C67" s="90" t="inlineStr">
        <is>
          <t>L001</t>
        </is>
      </c>
      <c r="D67" s="84" t="n">
        <v>1010604</v>
      </c>
      <c r="E67" s="80" t="inlineStr">
        <is>
          <t>EMPAQ. ESTILO MG-780P (TEADIT 2000S)1/2"</t>
        </is>
      </c>
      <c r="F67" s="67" t="inlineStr">
        <is>
          <t>KG</t>
        </is>
      </c>
      <c r="G67" s="84" t="n">
        <v>1</v>
      </c>
      <c r="H67" s="57" t="inlineStr"/>
      <c r="I67" s="139" t="n">
        <v>295</v>
      </c>
      <c r="J67" s="140" t="n">
        <v>295</v>
      </c>
      <c r="K67" s="86" t="inlineStr">
        <is>
          <t>PEN</t>
        </is>
      </c>
    </row>
    <row r="68">
      <c r="A68" s="84" t="n">
        <v>31010033</v>
      </c>
      <c r="B68" s="67" t="inlineStr">
        <is>
          <t>TPSU</t>
        </is>
      </c>
      <c r="C68" s="90" t="inlineStr">
        <is>
          <t>L001</t>
        </is>
      </c>
      <c r="D68" s="84" t="n">
        <v>1010604</v>
      </c>
      <c r="E68" s="80" t="inlineStr">
        <is>
          <t>EMPAQ. GRAF. EXPAND. 5/8"CUADRADA C/CARB</t>
        </is>
      </c>
      <c r="F68" s="67" t="inlineStr">
        <is>
          <t>KG</t>
        </is>
      </c>
      <c r="G68" s="84" t="n">
        <v>1.5</v>
      </c>
      <c r="H68" s="57" t="inlineStr"/>
      <c r="I68" s="139" t="n">
        <v>790.5</v>
      </c>
      <c r="J68" s="140" t="n">
        <v>527</v>
      </c>
      <c r="K68" s="86" t="inlineStr">
        <is>
          <t>PEN</t>
        </is>
      </c>
    </row>
    <row r="69">
      <c r="A69" s="84" t="n">
        <v>34002677</v>
      </c>
      <c r="B69" s="67" t="inlineStr">
        <is>
          <t>TPSU</t>
        </is>
      </c>
      <c r="C69" s="90" t="inlineStr">
        <is>
          <t>L001</t>
        </is>
      </c>
      <c r="D69" s="84" t="n">
        <v>1010701</v>
      </c>
      <c r="E69" s="80" t="inlineStr">
        <is>
          <t>CARBON SELLO ROTULA P/JUNTA ROTATIVA 6</t>
        </is>
      </c>
      <c r="F69" s="67" t="inlineStr">
        <is>
          <t>UN</t>
        </is>
      </c>
      <c r="G69" s="84" t="n">
        <v>2</v>
      </c>
      <c r="H69" s="57" t="inlineStr"/>
      <c r="I69" s="139" t="n">
        <v>1575.36</v>
      </c>
      <c r="J69" s="140" t="n">
        <v>787.6799999999999</v>
      </c>
      <c r="K69" s="86" t="inlineStr">
        <is>
          <t>PEN</t>
        </is>
      </c>
    </row>
    <row r="70">
      <c r="A70" s="84" t="n">
        <v>33042559</v>
      </c>
      <c r="B70" s="67" t="inlineStr">
        <is>
          <t>TPSU</t>
        </is>
      </c>
      <c r="C70" s="90" t="inlineStr">
        <is>
          <t>L004</t>
        </is>
      </c>
      <c r="D70" s="84" t="n">
        <v>1010702</v>
      </c>
      <c r="E70" s="80" t="inlineStr">
        <is>
          <t>SELLO LABERINTO EXT.C/ANILLOS EN O 332A</t>
        </is>
      </c>
      <c r="F70" s="67" t="inlineStr">
        <is>
          <t>UN</t>
        </is>
      </c>
      <c r="G70" s="84" t="n">
        <v>1</v>
      </c>
      <c r="H70" s="57" t="inlineStr"/>
      <c r="I70" s="139" t="n">
        <v>1896.21</v>
      </c>
      <c r="J70" s="140" t="n">
        <v>1896.21</v>
      </c>
      <c r="K70" s="86" t="inlineStr">
        <is>
          <t>PEN</t>
        </is>
      </c>
    </row>
    <row r="71">
      <c r="A71" s="84" t="n">
        <v>33038278</v>
      </c>
      <c r="B71" s="67" t="inlineStr">
        <is>
          <t>TPSU</t>
        </is>
      </c>
      <c r="C71" s="90" t="inlineStr">
        <is>
          <t>L001</t>
        </is>
      </c>
      <c r="D71" s="84" t="n">
        <v>1010702</v>
      </c>
      <c r="E71" s="80" t="inlineStr">
        <is>
          <t>SELLO MECANICO 1.1/8" T/T21 C-CERAM.NI</t>
        </is>
      </c>
      <c r="F71" s="67" t="inlineStr">
        <is>
          <t>UN</t>
        </is>
      </c>
      <c r="G71" s="84" t="n">
        <v>4</v>
      </c>
      <c r="H71" s="57" t="inlineStr"/>
      <c r="I71" s="139" t="n">
        <v>463.12</v>
      </c>
      <c r="J71" s="140" t="n">
        <v>115.78</v>
      </c>
      <c r="K71" s="86" t="inlineStr">
        <is>
          <t>PEN</t>
        </is>
      </c>
    </row>
    <row r="72">
      <c r="A72" s="84" t="n">
        <v>33041456</v>
      </c>
      <c r="B72" s="67" t="inlineStr">
        <is>
          <t>TPSU</t>
        </is>
      </c>
      <c r="C72" s="90" t="inlineStr">
        <is>
          <t>L001</t>
        </is>
      </c>
      <c r="D72" s="84" t="n">
        <v>1010702</v>
      </c>
      <c r="E72" s="80" t="inlineStr">
        <is>
          <t>SELLO MECANICO 32MM T/21 C-CER SI VITON</t>
        </is>
      </c>
      <c r="F72" s="67" t="inlineStr">
        <is>
          <t>UN</t>
        </is>
      </c>
      <c r="G72" s="84" t="n">
        <v>1</v>
      </c>
      <c r="H72" s="57" t="inlineStr"/>
      <c r="I72" s="139" t="n">
        <v>470</v>
      </c>
      <c r="J72" s="140" t="n">
        <v>470</v>
      </c>
      <c r="K72" s="86" t="inlineStr">
        <is>
          <t>PEN</t>
        </is>
      </c>
    </row>
    <row r="73">
      <c r="A73" s="84" t="n">
        <v>33038373</v>
      </c>
      <c r="B73" s="67" t="inlineStr">
        <is>
          <t>TPSU</t>
        </is>
      </c>
      <c r="C73" s="90" t="inlineStr">
        <is>
          <t>L001</t>
        </is>
      </c>
      <c r="D73" s="84" t="n">
        <v>1010702</v>
      </c>
      <c r="E73" s="80" t="inlineStr">
        <is>
          <t>SELLO MECANICO HN406S-040 BQ1VGG - L60</t>
        </is>
      </c>
      <c r="F73" s="67" t="inlineStr">
        <is>
          <t>UN</t>
        </is>
      </c>
      <c r="G73" s="84" t="n">
        <v>2</v>
      </c>
      <c r="H73" s="57" t="inlineStr"/>
      <c r="I73" s="139" t="n">
        <v>2241.86</v>
      </c>
      <c r="J73" s="140" t="n">
        <v>1120.93</v>
      </c>
      <c r="K73" s="86" t="inlineStr">
        <is>
          <t>PEN</t>
        </is>
      </c>
    </row>
    <row r="74">
      <c r="A74" s="84" t="n">
        <v>33035035</v>
      </c>
      <c r="B74" s="67" t="inlineStr">
        <is>
          <t>TPSU</t>
        </is>
      </c>
      <c r="C74" s="90" t="inlineStr">
        <is>
          <t>L001</t>
        </is>
      </c>
      <c r="D74" s="84" t="n">
        <v>1010703</v>
      </c>
      <c r="E74" s="80" t="inlineStr">
        <is>
          <t>MECHANICAL SEAL (COMPLETE) (STANDARD)</t>
        </is>
      </c>
      <c r="F74" s="67" t="inlineStr">
        <is>
          <t>UN</t>
        </is>
      </c>
      <c r="G74" s="84" t="n">
        <v>1</v>
      </c>
      <c r="H74" s="57" t="inlineStr"/>
      <c r="I74" s="139" t="n">
        <v>836.64</v>
      </c>
      <c r="J74" s="140" t="n">
        <v>836.64</v>
      </c>
      <c r="K74" s="86" t="inlineStr">
        <is>
          <t>PEN</t>
        </is>
      </c>
    </row>
    <row r="75">
      <c r="A75" s="84" t="n">
        <v>33049511</v>
      </c>
      <c r="B75" s="67" t="inlineStr">
        <is>
          <t>TPSU</t>
        </is>
      </c>
      <c r="C75" s="90" t="inlineStr">
        <is>
          <t>L001</t>
        </is>
      </c>
      <c r="D75" s="84" t="n">
        <v>1010704</v>
      </c>
      <c r="E75" s="80" t="inlineStr">
        <is>
          <t>ROTULA M10 X 1.25 KJ10D</t>
        </is>
      </c>
      <c r="F75" s="67" t="inlineStr">
        <is>
          <t>UN</t>
        </is>
      </c>
      <c r="G75" s="84" t="n">
        <v>6</v>
      </c>
      <c r="H75" s="57" t="inlineStr"/>
      <c r="I75" s="139" t="n">
        <v>220.08</v>
      </c>
      <c r="J75" s="140" t="n">
        <v>36.68</v>
      </c>
      <c r="K75" s="86" t="inlineStr">
        <is>
          <t>PEN</t>
        </is>
      </c>
    </row>
    <row r="76">
      <c r="A76" s="84" t="n">
        <v>33050269</v>
      </c>
      <c r="B76" s="67" t="inlineStr">
        <is>
          <t>TPSU</t>
        </is>
      </c>
      <c r="C76" s="90" t="inlineStr">
        <is>
          <t>L001</t>
        </is>
      </c>
      <c r="D76" s="84" t="n">
        <v>1010705</v>
      </c>
      <c r="E76" s="80" t="inlineStr">
        <is>
          <t>FLUJOMETRO ELECTROMAG. 2'' MUT2200EL</t>
        </is>
      </c>
      <c r="F76" s="67" t="inlineStr">
        <is>
          <t>UN</t>
        </is>
      </c>
      <c r="G76" s="84" t="n">
        <v>1</v>
      </c>
      <c r="H76" s="57" t="inlineStr"/>
      <c r="I76" s="139" t="n">
        <v>11274.72</v>
      </c>
      <c r="J76" s="140" t="n">
        <v>11274.72</v>
      </c>
      <c r="K76" s="86" t="inlineStr">
        <is>
          <t>PEN</t>
        </is>
      </c>
    </row>
    <row r="77">
      <c r="A77" s="84" t="n">
        <v>33034963</v>
      </c>
      <c r="B77" s="67" t="inlineStr">
        <is>
          <t>TPSU</t>
        </is>
      </c>
      <c r="C77" s="90" t="inlineStr">
        <is>
          <t>L001</t>
        </is>
      </c>
      <c r="D77" s="84" t="n">
        <v>1010801</v>
      </c>
      <c r="E77" s="80" t="inlineStr">
        <is>
          <t>MANOMETRO 0-3000PSI Ø2.1/2" C.INF.1/4</t>
        </is>
      </c>
      <c r="F77" s="67" t="inlineStr">
        <is>
          <t>UN</t>
        </is>
      </c>
      <c r="G77" s="84" t="n">
        <v>2</v>
      </c>
      <c r="H77" s="57" t="inlineStr"/>
      <c r="I77" s="139" t="n">
        <v>119.37</v>
      </c>
      <c r="J77" s="140" t="n">
        <v>59.685</v>
      </c>
      <c r="K77" s="86" t="inlineStr">
        <is>
          <t>PEN</t>
        </is>
      </c>
    </row>
    <row r="78">
      <c r="A78" s="84" t="n">
        <v>33034964</v>
      </c>
      <c r="B78" s="67" t="inlineStr">
        <is>
          <t>TPSU</t>
        </is>
      </c>
      <c r="C78" s="90" t="inlineStr">
        <is>
          <t>L001</t>
        </is>
      </c>
      <c r="D78" s="84" t="n">
        <v>1010801</v>
      </c>
      <c r="E78" s="80" t="inlineStr">
        <is>
          <t>MANOMETRO 0-3000PSI Ø2.1/2" C.POS.1/4</t>
        </is>
      </c>
      <c r="F78" s="67" t="inlineStr">
        <is>
          <t>UN</t>
        </is>
      </c>
      <c r="G78" s="84" t="n">
        <v>1</v>
      </c>
      <c r="H78" s="57" t="inlineStr"/>
      <c r="I78" s="139" t="n">
        <v>57.22</v>
      </c>
      <c r="J78" s="140" t="n">
        <v>57.22</v>
      </c>
      <c r="K78" s="86" t="inlineStr">
        <is>
          <t>PEN</t>
        </is>
      </c>
    </row>
    <row r="79">
      <c r="A79" s="84" t="n">
        <v>33034980</v>
      </c>
      <c r="B79" s="67" t="inlineStr">
        <is>
          <t>TPSU</t>
        </is>
      </c>
      <c r="C79" s="90" t="inlineStr">
        <is>
          <t>L001</t>
        </is>
      </c>
      <c r="D79" s="84" t="n">
        <v>1010801</v>
      </c>
      <c r="E79" s="80" t="inlineStr">
        <is>
          <t>MANOMETRO 0-60 PSI DIAL 2 1/2" C/G</t>
        </is>
      </c>
      <c r="F79" s="67" t="inlineStr">
        <is>
          <t>UN</t>
        </is>
      </c>
      <c r="G79" s="84" t="n">
        <v>3</v>
      </c>
      <c r="H79" s="57" t="inlineStr"/>
      <c r="I79" s="139" t="n">
        <v>198.52</v>
      </c>
      <c r="J79" s="140" t="n">
        <v>66.17333333333333</v>
      </c>
      <c r="K79" s="86" t="inlineStr">
        <is>
          <t>PEN</t>
        </is>
      </c>
    </row>
    <row r="80">
      <c r="A80" s="84" t="n">
        <v>33034989</v>
      </c>
      <c r="B80" s="67" t="inlineStr">
        <is>
          <t>TPSU</t>
        </is>
      </c>
      <c r="C80" s="90" t="inlineStr">
        <is>
          <t>L001</t>
        </is>
      </c>
      <c r="D80" s="84" t="n">
        <v>1010801</v>
      </c>
      <c r="E80" s="80" t="inlineStr">
        <is>
          <t>MANOMETRO 0-60PSI DIAL 2.1/2" A:31011851</t>
        </is>
      </c>
      <c r="F80" s="67" t="inlineStr">
        <is>
          <t>UN</t>
        </is>
      </c>
      <c r="G80" s="84" t="n">
        <v>1</v>
      </c>
      <c r="H80" s="57" t="inlineStr"/>
      <c r="I80" s="139" t="n">
        <v>48</v>
      </c>
      <c r="J80" s="140" t="n">
        <v>48</v>
      </c>
      <c r="K80" s="86" t="inlineStr">
        <is>
          <t>PEN</t>
        </is>
      </c>
    </row>
    <row r="81">
      <c r="A81" s="84" t="n">
        <v>31011578</v>
      </c>
      <c r="B81" s="67" t="inlineStr">
        <is>
          <t>TPSU</t>
        </is>
      </c>
      <c r="C81" s="90" t="inlineStr">
        <is>
          <t>L001</t>
        </is>
      </c>
      <c r="D81" s="84" t="n">
        <v>1010802</v>
      </c>
      <c r="E81" s="80" t="inlineStr">
        <is>
          <t>MANOMETRO 0-160PSI 4"Ø C.INF.INOX 1/2"CG</t>
        </is>
      </c>
      <c r="F81" s="67" t="inlineStr">
        <is>
          <t>UN</t>
        </is>
      </c>
      <c r="G81" s="84" t="n">
        <v>4</v>
      </c>
      <c r="H81" s="57" t="inlineStr"/>
      <c r="I81" s="139" t="n">
        <v>619.5</v>
      </c>
      <c r="J81" s="140" t="n">
        <v>154.875</v>
      </c>
      <c r="K81" s="86" t="inlineStr">
        <is>
          <t>PEN</t>
        </is>
      </c>
    </row>
    <row r="82">
      <c r="A82" s="84" t="n">
        <v>31011592</v>
      </c>
      <c r="B82" s="67" t="inlineStr">
        <is>
          <t>TPSU</t>
        </is>
      </c>
      <c r="C82" s="90" t="inlineStr">
        <is>
          <t>L001</t>
        </is>
      </c>
      <c r="D82" s="84" t="n">
        <v>1010802</v>
      </c>
      <c r="E82" s="80" t="inlineStr">
        <is>
          <t>MANOMETRO 0-400MBAR DIAL2.1/2"CINF1/4"SG</t>
        </is>
      </c>
      <c r="F82" s="67" t="inlineStr">
        <is>
          <t>UN</t>
        </is>
      </c>
      <c r="G82" s="84" t="n">
        <v>4</v>
      </c>
      <c r="H82" s="57" t="inlineStr"/>
      <c r="I82" s="139" t="n">
        <v>671.8200000000001</v>
      </c>
      <c r="J82" s="140" t="n">
        <v>167.955</v>
      </c>
      <c r="K82" s="86" t="inlineStr">
        <is>
          <t>PEN</t>
        </is>
      </c>
    </row>
    <row r="83">
      <c r="A83" s="84" t="n">
        <v>33034991</v>
      </c>
      <c r="B83" s="67" t="inlineStr">
        <is>
          <t>TPSU</t>
        </is>
      </c>
      <c r="C83" s="90" t="inlineStr">
        <is>
          <t>L001</t>
        </is>
      </c>
      <c r="D83" s="84" t="n">
        <v>1010802</v>
      </c>
      <c r="E83" s="80" t="inlineStr">
        <is>
          <t>MANOMETRO 0-60PSI Ø4"C.I.1/2"NPT INOX</t>
        </is>
      </c>
      <c r="F83" s="67" t="inlineStr">
        <is>
          <t>UN</t>
        </is>
      </c>
      <c r="G83" s="84" t="n">
        <v>4</v>
      </c>
      <c r="H83" s="57" t="inlineStr"/>
      <c r="I83" s="139" t="n">
        <v>1085</v>
      </c>
      <c r="J83" s="140" t="n">
        <v>271.25</v>
      </c>
      <c r="K83" s="86" t="inlineStr">
        <is>
          <t>PEN</t>
        </is>
      </c>
    </row>
    <row r="84">
      <c r="A84" s="84" t="n">
        <v>33033287</v>
      </c>
      <c r="B84" s="67" t="inlineStr">
        <is>
          <t>TPSU</t>
        </is>
      </c>
      <c r="C84" s="90" t="inlineStr">
        <is>
          <t>L001</t>
        </is>
      </c>
      <c r="D84" s="84" t="n">
        <v>1010803</v>
      </c>
      <c r="E84" s="80" t="inlineStr">
        <is>
          <t>FOTOCELDA INFRARROJO C7915A</t>
        </is>
      </c>
      <c r="F84" s="67" t="inlineStr">
        <is>
          <t>UN</t>
        </is>
      </c>
      <c r="G84" s="84" t="n">
        <v>1</v>
      </c>
      <c r="H84" s="57" t="inlineStr"/>
      <c r="I84" s="139" t="n">
        <v>1344.7</v>
      </c>
      <c r="J84" s="140" t="n">
        <v>1344.7</v>
      </c>
      <c r="K84" s="86" t="inlineStr">
        <is>
          <t>PEN</t>
        </is>
      </c>
    </row>
    <row r="85">
      <c r="A85" s="84" t="n">
        <v>34002957</v>
      </c>
      <c r="B85" s="67" t="inlineStr">
        <is>
          <t>TPSU</t>
        </is>
      </c>
      <c r="C85" s="90" t="inlineStr">
        <is>
          <t>L001</t>
        </is>
      </c>
      <c r="D85" s="84" t="n">
        <v>1010804</v>
      </c>
      <c r="E85" s="80" t="inlineStr">
        <is>
          <t>VALVE SOLENOID 948-155 1/2" (8266B77L)</t>
        </is>
      </c>
      <c r="F85" s="67" t="inlineStr">
        <is>
          <t>UN</t>
        </is>
      </c>
      <c r="G85" s="84" t="n">
        <v>2</v>
      </c>
      <c r="H85" s="57" t="inlineStr"/>
      <c r="I85" s="139" t="n">
        <v>3643.87</v>
      </c>
      <c r="J85" s="140" t="n">
        <v>1821.935</v>
      </c>
      <c r="K85" s="86" t="inlineStr">
        <is>
          <t>PEN</t>
        </is>
      </c>
    </row>
    <row r="86">
      <c r="A86" s="84" t="n">
        <v>34002975</v>
      </c>
      <c r="B86" s="67" t="inlineStr">
        <is>
          <t>TPSU</t>
        </is>
      </c>
      <c r="C86" s="90" t="inlineStr">
        <is>
          <t>L001</t>
        </is>
      </c>
      <c r="D86" s="84" t="n">
        <v>1010805</v>
      </c>
      <c r="E86" s="80" t="inlineStr">
        <is>
          <t>GASKET HEAD FRONT &amp; REAR 032-00901</t>
        </is>
      </c>
      <c r="F86" s="67" t="inlineStr">
        <is>
          <t>UN</t>
        </is>
      </c>
      <c r="G86" s="84" t="n">
        <v>10</v>
      </c>
      <c r="H86" s="57" t="inlineStr"/>
      <c r="I86" s="139" t="n">
        <v>5740.34</v>
      </c>
      <c r="J86" s="140" t="n">
        <v>574.034</v>
      </c>
      <c r="K86" s="86" t="inlineStr">
        <is>
          <t>PEN</t>
        </is>
      </c>
    </row>
    <row r="87">
      <c r="A87" s="84" t="n">
        <v>31015433</v>
      </c>
      <c r="B87" s="67" t="inlineStr">
        <is>
          <t>TPSU</t>
        </is>
      </c>
      <c r="C87" s="90" t="inlineStr">
        <is>
          <t>L001</t>
        </is>
      </c>
      <c r="D87" s="84" t="n">
        <v>1020201</v>
      </c>
      <c r="E87" s="80" t="inlineStr">
        <is>
          <t>CANDADO 30MM</t>
        </is>
      </c>
      <c r="F87" s="67" t="inlineStr">
        <is>
          <t>UN</t>
        </is>
      </c>
      <c r="G87" s="84" t="n">
        <v>42</v>
      </c>
      <c r="H87" s="57" t="inlineStr"/>
      <c r="I87" s="139" t="n">
        <v>482.79</v>
      </c>
      <c r="J87" s="140" t="n">
        <v>11.495</v>
      </c>
      <c r="K87" s="86" t="inlineStr">
        <is>
          <t>PEN</t>
        </is>
      </c>
    </row>
    <row r="88">
      <c r="A88" s="84" t="n">
        <v>31015352</v>
      </c>
      <c r="B88" s="67" t="inlineStr">
        <is>
          <t>TPSU</t>
        </is>
      </c>
      <c r="C88" s="90" t="inlineStr">
        <is>
          <t>L001</t>
        </is>
      </c>
      <c r="D88" s="84" t="n">
        <v>1020201</v>
      </c>
      <c r="E88" s="80" t="inlineStr">
        <is>
          <t>CANDADO 50MM</t>
        </is>
      </c>
      <c r="F88" s="67" t="inlineStr">
        <is>
          <t>UN</t>
        </is>
      </c>
      <c r="G88" s="84" t="n">
        <v>2</v>
      </c>
      <c r="H88" s="57" t="inlineStr"/>
      <c r="I88" s="139" t="n">
        <v>61.77</v>
      </c>
      <c r="J88" s="140" t="n">
        <v>30.885</v>
      </c>
      <c r="K88" s="86" t="inlineStr">
        <is>
          <t>PEN</t>
        </is>
      </c>
    </row>
    <row r="89">
      <c r="A89" s="84" t="n">
        <v>32004081</v>
      </c>
      <c r="B89" s="67" t="inlineStr">
        <is>
          <t>TPSU</t>
        </is>
      </c>
      <c r="C89" s="90" t="inlineStr">
        <is>
          <t>L001</t>
        </is>
      </c>
      <c r="D89" s="84" t="n">
        <v>1020202</v>
      </c>
      <c r="E89" s="80" t="inlineStr">
        <is>
          <t>DECLARACION JURADA</t>
        </is>
      </c>
      <c r="F89" s="67" t="inlineStr">
        <is>
          <t>UN</t>
        </is>
      </c>
      <c r="G89" s="84" t="n">
        <v>2</v>
      </c>
      <c r="H89" s="57" t="inlineStr"/>
      <c r="I89" s="139" t="n">
        <v>35</v>
      </c>
      <c r="J89" s="140" t="n">
        <v>17.5</v>
      </c>
      <c r="K89" s="86" t="inlineStr">
        <is>
          <t>PEN</t>
        </is>
      </c>
    </row>
    <row r="90">
      <c r="A90" s="84" t="n">
        <v>32004045</v>
      </c>
      <c r="B90" s="67" t="inlineStr">
        <is>
          <t>TPSU</t>
        </is>
      </c>
      <c r="C90" s="90" t="inlineStr">
        <is>
          <t>L001</t>
        </is>
      </c>
      <c r="D90" s="84" t="n">
        <v>1020203</v>
      </c>
      <c r="E90" s="80" t="inlineStr">
        <is>
          <t>CUADERNILLO DECLARAC. DIARIA ARRIBO E/P</t>
        </is>
      </c>
      <c r="F90" s="67" t="inlineStr">
        <is>
          <t>UN</t>
        </is>
      </c>
      <c r="G90" s="84" t="n">
        <v>8</v>
      </c>
      <c r="H90" s="57" t="inlineStr"/>
      <c r="I90" s="139" t="n">
        <v>75.34</v>
      </c>
      <c r="J90" s="140" t="n">
        <v>9.4175</v>
      </c>
      <c r="K90" s="86" t="inlineStr">
        <is>
          <t>PEN</t>
        </is>
      </c>
    </row>
    <row r="91">
      <c r="A91" s="84" t="n">
        <v>32004555</v>
      </c>
      <c r="B91" s="67" t="inlineStr">
        <is>
          <t>TPSU</t>
        </is>
      </c>
      <c r="C91" s="90" t="inlineStr">
        <is>
          <t>L001</t>
        </is>
      </c>
      <c r="D91" s="84" t="n">
        <v>1020203</v>
      </c>
      <c r="E91" s="80" t="inlineStr">
        <is>
          <t>LIBRO BITACORA PESCA (100 HOJAS)</t>
        </is>
      </c>
      <c r="F91" s="67" t="inlineStr">
        <is>
          <t>UN</t>
        </is>
      </c>
      <c r="G91" s="84" t="n">
        <v>1</v>
      </c>
      <c r="H91" s="57" t="inlineStr"/>
      <c r="I91" s="139" t="n">
        <v>18.7</v>
      </c>
      <c r="J91" s="140" t="n">
        <v>18.7</v>
      </c>
      <c r="K91" s="86" t="inlineStr">
        <is>
          <t>PEN</t>
        </is>
      </c>
    </row>
    <row r="92">
      <c r="A92" s="84" t="n">
        <v>32003571</v>
      </c>
      <c r="B92" s="67" t="inlineStr">
        <is>
          <t>TPSU</t>
        </is>
      </c>
      <c r="C92" s="90" t="inlineStr">
        <is>
          <t>L001</t>
        </is>
      </c>
      <c r="D92" s="84" t="n">
        <v>1020204</v>
      </c>
      <c r="E92" s="80" t="inlineStr">
        <is>
          <t>BLOCK PEDIDO DE MATERIALES</t>
        </is>
      </c>
      <c r="F92" s="67" t="inlineStr">
        <is>
          <t>UN</t>
        </is>
      </c>
      <c r="G92" s="84" t="n">
        <v>1</v>
      </c>
      <c r="H92" s="57" t="inlineStr"/>
      <c r="I92" s="139" t="n">
        <v>17.4</v>
      </c>
      <c r="J92" s="140" t="n">
        <v>17.4</v>
      </c>
      <c r="K92" s="86" t="inlineStr">
        <is>
          <t>PEN</t>
        </is>
      </c>
    </row>
    <row r="93">
      <c r="A93" s="84" t="n">
        <v>32004557</v>
      </c>
      <c r="B93" s="67" t="inlineStr">
        <is>
          <t>TPSU</t>
        </is>
      </c>
      <c r="C93" s="90" t="inlineStr">
        <is>
          <t>L001</t>
        </is>
      </c>
      <c r="D93" s="84" t="n">
        <v>1020205</v>
      </c>
      <c r="E93" s="80" t="inlineStr">
        <is>
          <t>LIBRO DE ACTA DE TRABAJO TERMINADO</t>
        </is>
      </c>
      <c r="F93" s="67" t="inlineStr">
        <is>
          <t>UN</t>
        </is>
      </c>
      <c r="G93" s="84" t="n">
        <v>5</v>
      </c>
      <c r="H93" s="57" t="inlineStr"/>
      <c r="I93" s="139" t="n">
        <v>334.98</v>
      </c>
      <c r="J93" s="140" t="n">
        <v>66.99600000000001</v>
      </c>
      <c r="K93" s="86" t="inlineStr">
        <is>
          <t>PEN</t>
        </is>
      </c>
    </row>
    <row r="94">
      <c r="A94" s="84" t="n">
        <v>32003986</v>
      </c>
      <c r="B94" s="67" t="inlineStr">
        <is>
          <t>TPSU</t>
        </is>
      </c>
      <c r="C94" s="90" t="inlineStr">
        <is>
          <t>L001</t>
        </is>
      </c>
      <c r="D94" s="84" t="n">
        <v>1020301</v>
      </c>
      <c r="E94" s="80" t="inlineStr">
        <is>
          <t>CINTA P/IMPRESORA EPSON ERC-38</t>
        </is>
      </c>
      <c r="F94" s="67" t="inlineStr">
        <is>
          <t>UN</t>
        </is>
      </c>
      <c r="G94" s="84" t="n">
        <v>1</v>
      </c>
      <c r="H94" s="57" t="inlineStr">
        <is>
          <t>0000032158</t>
        </is>
      </c>
      <c r="I94" s="139" t="n">
        <v>66.61</v>
      </c>
      <c r="J94" s="140" t="n">
        <v>66.61</v>
      </c>
      <c r="K94" s="86" t="inlineStr">
        <is>
          <t>PEN</t>
        </is>
      </c>
    </row>
    <row r="95">
      <c r="A95" s="84" t="n">
        <v>32004548</v>
      </c>
      <c r="B95" s="67" t="inlineStr">
        <is>
          <t>TPSU</t>
        </is>
      </c>
      <c r="C95" s="90" t="inlineStr">
        <is>
          <t>L001</t>
        </is>
      </c>
      <c r="D95" s="84" t="n">
        <v>1020301</v>
      </c>
      <c r="E95" s="80" t="inlineStr">
        <is>
          <t>LIBRETA CUADRICULADA</t>
        </is>
      </c>
      <c r="F95" s="67" t="inlineStr">
        <is>
          <t>UN</t>
        </is>
      </c>
      <c r="G95" s="84" t="n">
        <v>13</v>
      </c>
      <c r="H95" s="57" t="inlineStr"/>
      <c r="I95" s="139" t="n">
        <v>62.86</v>
      </c>
      <c r="J95" s="140" t="n">
        <v>4.835384615384616</v>
      </c>
      <c r="K95" s="86" t="inlineStr">
        <is>
          <t>PEN</t>
        </is>
      </c>
    </row>
    <row r="96">
      <c r="A96" s="84" t="n">
        <v>32004255</v>
      </c>
      <c r="B96" s="67" t="inlineStr">
        <is>
          <t>TPSU</t>
        </is>
      </c>
      <c r="C96" s="90" t="inlineStr">
        <is>
          <t>L001</t>
        </is>
      </c>
      <c r="D96" s="84" t="n">
        <v>1020302</v>
      </c>
      <c r="E96" s="80" t="inlineStr">
        <is>
          <t>FORMATO AUTORIZACION HORAS EXTRAS</t>
        </is>
      </c>
      <c r="F96" s="67" t="inlineStr">
        <is>
          <t>UN</t>
        </is>
      </c>
      <c r="G96" s="84" t="n">
        <v>6</v>
      </c>
      <c r="H96" s="57" t="inlineStr"/>
      <c r="I96" s="139" t="n">
        <v>60</v>
      </c>
      <c r="J96" s="140" t="n">
        <v>10</v>
      </c>
      <c r="K96" s="86" t="inlineStr">
        <is>
          <t>PEN</t>
        </is>
      </c>
    </row>
    <row r="97">
      <c r="A97" s="84" t="n">
        <v>32003568</v>
      </c>
      <c r="B97" s="67" t="inlineStr">
        <is>
          <t>TPSU</t>
        </is>
      </c>
      <c r="C97" s="90" t="inlineStr">
        <is>
          <t>L001</t>
        </is>
      </c>
      <c r="D97" s="84" t="n">
        <v>1020303</v>
      </c>
      <c r="E97" s="80" t="inlineStr">
        <is>
          <t>BLOCK FORMATO CONTROL ENERGIA PELIGROSA</t>
        </is>
      </c>
      <c r="F97" s="67" t="inlineStr">
        <is>
          <t>UN</t>
        </is>
      </c>
      <c r="G97" s="84" t="n">
        <v>2</v>
      </c>
      <c r="H97" s="57" t="inlineStr"/>
      <c r="I97" s="139" t="n">
        <v>56</v>
      </c>
      <c r="J97" s="140" t="n">
        <v>28</v>
      </c>
      <c r="K97" s="86" t="inlineStr">
        <is>
          <t>PEN</t>
        </is>
      </c>
    </row>
    <row r="98">
      <c r="A98" s="84" t="n">
        <v>32005375</v>
      </c>
      <c r="B98" s="67" t="inlineStr">
        <is>
          <t>TPSU</t>
        </is>
      </c>
      <c r="C98" s="90" t="inlineStr">
        <is>
          <t>L001</t>
        </is>
      </c>
      <c r="D98" s="84" t="n">
        <v>1020303</v>
      </c>
      <c r="E98" s="80" t="inlineStr">
        <is>
          <t>VALE DE SALIDA DE MAT. ORI/2 COP.X 50JG.</t>
        </is>
      </c>
      <c r="F98" s="67" t="inlineStr">
        <is>
          <t>UN</t>
        </is>
      </c>
      <c r="G98" s="84" t="n">
        <v>4</v>
      </c>
      <c r="H98" s="57" t="inlineStr"/>
      <c r="I98" s="139" t="n">
        <v>32</v>
      </c>
      <c r="J98" s="140" t="n">
        <v>8</v>
      </c>
      <c r="K98" s="86" t="inlineStr">
        <is>
          <t>PEN</t>
        </is>
      </c>
    </row>
    <row r="99">
      <c r="A99" s="84" t="n">
        <v>32004248</v>
      </c>
      <c r="B99" s="67" t="inlineStr">
        <is>
          <t>TPSU</t>
        </is>
      </c>
      <c r="C99" s="90" t="inlineStr">
        <is>
          <t>L001</t>
        </is>
      </c>
      <c r="D99" s="84" t="n">
        <v>1020304</v>
      </c>
      <c r="E99" s="80" t="inlineStr">
        <is>
          <t>FOLDER MANILA A4</t>
        </is>
      </c>
      <c r="F99" s="67" t="inlineStr">
        <is>
          <t>UN</t>
        </is>
      </c>
      <c r="G99" s="84" t="n">
        <v>50</v>
      </c>
      <c r="H99" s="57" t="inlineStr"/>
      <c r="I99" s="139" t="n">
        <v>12.31</v>
      </c>
      <c r="J99" s="140" t="n">
        <v>0.2462</v>
      </c>
      <c r="K99" s="86" t="inlineStr">
        <is>
          <t>PEN</t>
        </is>
      </c>
    </row>
    <row r="100">
      <c r="A100" s="84" t="n">
        <v>32005545</v>
      </c>
      <c r="B100" s="67" t="inlineStr">
        <is>
          <t>TPSU</t>
        </is>
      </c>
      <c r="C100" s="90" t="inlineStr">
        <is>
          <t>L001</t>
        </is>
      </c>
      <c r="D100" s="84" t="n">
        <v>1020304</v>
      </c>
      <c r="E100" s="80" t="inlineStr">
        <is>
          <t>PAPEL LUSTRE AZUL</t>
        </is>
      </c>
      <c r="F100" s="67" t="inlineStr">
        <is>
          <t>UN</t>
        </is>
      </c>
      <c r="G100" s="84" t="n">
        <v>14</v>
      </c>
      <c r="H100" s="57" t="inlineStr"/>
      <c r="I100" s="139" t="n">
        <v>2.11</v>
      </c>
      <c r="J100" s="140" t="n">
        <v>0.1507142857142857</v>
      </c>
      <c r="K100" s="86" t="inlineStr">
        <is>
          <t>PEN</t>
        </is>
      </c>
    </row>
    <row r="101">
      <c r="A101" s="84" t="n">
        <v>32005557</v>
      </c>
      <c r="B101" s="67" t="inlineStr">
        <is>
          <t>TPSU</t>
        </is>
      </c>
      <c r="C101" s="90" t="inlineStr">
        <is>
          <t>L001</t>
        </is>
      </c>
      <c r="D101" s="84" t="n">
        <v>1020304</v>
      </c>
      <c r="E101" s="80" t="inlineStr">
        <is>
          <t>SOBRE MANILA A-4</t>
        </is>
      </c>
      <c r="F101" s="67" t="inlineStr">
        <is>
          <t>UN</t>
        </is>
      </c>
      <c r="G101" s="84" t="n">
        <v>77</v>
      </c>
      <c r="H101" s="57" t="inlineStr"/>
      <c r="I101" s="139" t="n">
        <v>116.47</v>
      </c>
      <c r="J101" s="140" t="n">
        <v>1.512597402597402</v>
      </c>
      <c r="K101" s="86" t="inlineStr">
        <is>
          <t>PEN</t>
        </is>
      </c>
    </row>
    <row r="102">
      <c r="A102" s="84" t="n">
        <v>32003494</v>
      </c>
      <c r="B102" s="67" t="inlineStr">
        <is>
          <t>TPSU</t>
        </is>
      </c>
      <c r="C102" s="90" t="inlineStr">
        <is>
          <t>L001</t>
        </is>
      </c>
      <c r="D102" s="84" t="n">
        <v>1020305</v>
      </c>
      <c r="E102" s="80" t="inlineStr">
        <is>
          <t>ARCHIVADOR 1/2 OFICIO</t>
        </is>
      </c>
      <c r="F102" s="67" t="inlineStr">
        <is>
          <t>UN</t>
        </is>
      </c>
      <c r="G102" s="84" t="n">
        <v>1</v>
      </c>
      <c r="H102" s="57" t="inlineStr"/>
      <c r="I102" s="139" t="n">
        <v>3.07</v>
      </c>
      <c r="J102" s="140" t="n">
        <v>3.07</v>
      </c>
      <c r="K102" s="86" t="inlineStr">
        <is>
          <t>PEN</t>
        </is>
      </c>
    </row>
    <row r="103">
      <c r="A103" s="84" t="n">
        <v>32003497</v>
      </c>
      <c r="B103" s="67" t="inlineStr">
        <is>
          <t>TPSU</t>
        </is>
      </c>
      <c r="C103" s="90" t="inlineStr">
        <is>
          <t>L001</t>
        </is>
      </c>
      <c r="D103" s="84" t="n">
        <v>1020305</v>
      </c>
      <c r="E103" s="80" t="inlineStr">
        <is>
          <t>ARCHIVADOR PALANCA -OFICIO LOMO ANCHO</t>
        </is>
      </c>
      <c r="F103" s="67" t="inlineStr">
        <is>
          <t>UN</t>
        </is>
      </c>
      <c r="G103" s="84" t="n">
        <v>15</v>
      </c>
      <c r="H103" s="57" t="inlineStr"/>
      <c r="I103" s="139" t="n">
        <v>58.02</v>
      </c>
      <c r="J103" s="140" t="n">
        <v>3.868</v>
      </c>
      <c r="K103" s="86" t="inlineStr">
        <is>
          <t>PEN</t>
        </is>
      </c>
    </row>
    <row r="104">
      <c r="A104" s="84" t="n">
        <v>32003794</v>
      </c>
      <c r="B104" s="67" t="inlineStr">
        <is>
          <t>TPSU</t>
        </is>
      </c>
      <c r="C104" s="90" t="inlineStr">
        <is>
          <t>L001</t>
        </is>
      </c>
      <c r="D104" s="84" t="n">
        <v>1020401</v>
      </c>
      <c r="E104" s="80" t="inlineStr">
        <is>
          <t>CALCULADORA 8 DIGITOS - 4 OPERACIONES</t>
        </is>
      </c>
      <c r="F104" s="67" t="inlineStr">
        <is>
          <t>UN</t>
        </is>
      </c>
      <c r="G104" s="84" t="n">
        <v>1</v>
      </c>
      <c r="H104" s="57" t="inlineStr"/>
      <c r="I104" s="139" t="n">
        <v>8.5</v>
      </c>
      <c r="J104" s="140" t="n">
        <v>8.5</v>
      </c>
      <c r="K104" s="86" t="inlineStr">
        <is>
          <t>PEN</t>
        </is>
      </c>
    </row>
    <row r="105">
      <c r="A105" s="84" t="n">
        <v>32005539</v>
      </c>
      <c r="B105" s="67" t="inlineStr">
        <is>
          <t>TPSU</t>
        </is>
      </c>
      <c r="C105" s="90" t="inlineStr">
        <is>
          <t>L001</t>
        </is>
      </c>
      <c r="D105" s="84" t="n">
        <v>1020401</v>
      </c>
      <c r="E105" s="80" t="inlineStr">
        <is>
          <t>FASTENER (CAJA X 50)</t>
        </is>
      </c>
      <c r="F105" s="67" t="inlineStr">
        <is>
          <t>CJ</t>
        </is>
      </c>
      <c r="G105" s="84" t="n">
        <v>3</v>
      </c>
      <c r="H105" s="57" t="inlineStr"/>
      <c r="I105" s="139" t="n">
        <v>10.68</v>
      </c>
      <c r="J105" s="140" t="n">
        <v>3.56</v>
      </c>
      <c r="K105" s="86" t="inlineStr">
        <is>
          <t>PEN</t>
        </is>
      </c>
    </row>
    <row r="106">
      <c r="A106" s="84" t="n">
        <v>32004355</v>
      </c>
      <c r="B106" s="67" t="inlineStr">
        <is>
          <t>TPSU</t>
        </is>
      </c>
      <c r="C106" s="90" t="inlineStr">
        <is>
          <t>L001</t>
        </is>
      </c>
      <c r="D106" s="84" t="n">
        <v>1020401</v>
      </c>
      <c r="E106" s="80" t="inlineStr">
        <is>
          <t>GRAPA 26/6</t>
        </is>
      </c>
      <c r="F106" s="67" t="inlineStr">
        <is>
          <t>UN</t>
        </is>
      </c>
      <c r="G106" s="84" t="n">
        <v>4</v>
      </c>
      <c r="H106" s="57" t="inlineStr"/>
      <c r="I106" s="139" t="n">
        <v>9.42</v>
      </c>
      <c r="J106" s="140" t="n">
        <v>2.355</v>
      </c>
      <c r="K106" s="86" t="inlineStr">
        <is>
          <t>PEN</t>
        </is>
      </c>
    </row>
    <row r="107">
      <c r="A107" s="84" t="n">
        <v>32004002</v>
      </c>
      <c r="B107" s="67" t="inlineStr">
        <is>
          <t>TPSU</t>
        </is>
      </c>
      <c r="C107" s="90" t="inlineStr">
        <is>
          <t>L001</t>
        </is>
      </c>
      <c r="D107" s="84" t="n">
        <v>1020402</v>
      </c>
      <c r="E107" s="80" t="inlineStr">
        <is>
          <t>CLIPS PEQUEÑOS 33 MM</t>
        </is>
      </c>
      <c r="F107" s="67" t="inlineStr">
        <is>
          <t>CJ</t>
        </is>
      </c>
      <c r="G107" s="84" t="n">
        <v>2</v>
      </c>
      <c r="H107" s="57" t="inlineStr"/>
      <c r="I107" s="139" t="n">
        <v>1.08</v>
      </c>
      <c r="J107" s="140" t="n">
        <v>0.54</v>
      </c>
      <c r="K107" s="86" t="inlineStr">
        <is>
          <t>PEN</t>
        </is>
      </c>
    </row>
    <row r="108">
      <c r="A108" s="84" t="n">
        <v>31028252</v>
      </c>
      <c r="B108" s="67" t="inlineStr">
        <is>
          <t>TPSU</t>
        </is>
      </c>
      <c r="C108" s="90" t="inlineStr">
        <is>
          <t>L001</t>
        </is>
      </c>
      <c r="D108" s="84" t="n">
        <v>1020402</v>
      </c>
      <c r="E108" s="80" t="inlineStr">
        <is>
          <t>CUCHILLA AUTORETRACTIL OLFA SK-4</t>
        </is>
      </c>
      <c r="F108" s="67" t="inlineStr">
        <is>
          <t>UN</t>
        </is>
      </c>
      <c r="G108" s="84" t="n">
        <v>5</v>
      </c>
      <c r="H108" s="57" t="inlineStr"/>
      <c r="I108" s="139" t="n">
        <v>237.96</v>
      </c>
      <c r="J108" s="140" t="n">
        <v>47.592</v>
      </c>
      <c r="K108" s="86" t="inlineStr">
        <is>
          <t>PEN</t>
        </is>
      </c>
    </row>
    <row r="109">
      <c r="A109" s="84" t="n">
        <v>32004350</v>
      </c>
      <c r="B109" s="67" t="inlineStr">
        <is>
          <t>TPSU</t>
        </is>
      </c>
      <c r="C109" s="90" t="inlineStr">
        <is>
          <t>L001</t>
        </is>
      </c>
      <c r="D109" s="84" t="n">
        <v>1020402</v>
      </c>
      <c r="E109" s="80" t="inlineStr">
        <is>
          <t>GOMA TRANSPARENTE EN BARRA</t>
        </is>
      </c>
      <c r="F109" s="67" t="inlineStr">
        <is>
          <t>FCO</t>
        </is>
      </c>
      <c r="G109" s="84" t="n">
        <v>1</v>
      </c>
      <c r="H109" s="57" t="inlineStr"/>
      <c r="I109" s="139" t="n">
        <v>1.53</v>
      </c>
      <c r="J109" s="140" t="n">
        <v>1.53</v>
      </c>
      <c r="K109" s="86" t="inlineStr">
        <is>
          <t>PEN</t>
        </is>
      </c>
    </row>
    <row r="110">
      <c r="A110" s="84" t="n">
        <v>32004703</v>
      </c>
      <c r="B110" s="67" t="inlineStr">
        <is>
          <t>TPSU</t>
        </is>
      </c>
      <c r="C110" s="90" t="inlineStr">
        <is>
          <t>L001</t>
        </is>
      </c>
      <c r="D110" s="84" t="n">
        <v>1020403</v>
      </c>
      <c r="E110" s="80" t="inlineStr">
        <is>
          <t>MICA A4</t>
        </is>
      </c>
      <c r="F110" s="67" t="inlineStr">
        <is>
          <t>UN</t>
        </is>
      </c>
      <c r="G110" s="84" t="n">
        <v>160</v>
      </c>
      <c r="H110" s="57" t="inlineStr"/>
      <c r="I110" s="139" t="n">
        <v>64.62</v>
      </c>
      <c r="J110" s="140" t="n">
        <v>0.403875</v>
      </c>
      <c r="K110" s="86" t="inlineStr">
        <is>
          <t>PEN</t>
        </is>
      </c>
    </row>
    <row r="111">
      <c r="A111" s="84" t="n">
        <v>32004710</v>
      </c>
      <c r="B111" s="67" t="inlineStr">
        <is>
          <t>TPSU</t>
        </is>
      </c>
      <c r="C111" s="90" t="inlineStr">
        <is>
          <t>L001</t>
        </is>
      </c>
      <c r="D111" s="84" t="n">
        <v>1020403</v>
      </c>
      <c r="E111" s="80" t="inlineStr">
        <is>
          <t>MICRÓFONO DE ESCRITORIO CON PEDESTAL /PC</t>
        </is>
      </c>
      <c r="F111" s="67" t="inlineStr">
        <is>
          <t>UN</t>
        </is>
      </c>
      <c r="G111" s="84" t="n">
        <v>1</v>
      </c>
      <c r="H111" s="57" t="inlineStr"/>
      <c r="I111" s="139" t="n">
        <v>70.73999999999999</v>
      </c>
      <c r="J111" s="140" t="n">
        <v>70.73999999999999</v>
      </c>
      <c r="K111" s="86" t="inlineStr">
        <is>
          <t>PEN</t>
        </is>
      </c>
    </row>
    <row r="112">
      <c r="A112" s="84" t="n">
        <v>32004702</v>
      </c>
      <c r="B112" s="67" t="inlineStr">
        <is>
          <t>TPSU</t>
        </is>
      </c>
      <c r="C112" s="90" t="inlineStr">
        <is>
          <t>L001</t>
        </is>
      </c>
      <c r="D112" s="84" t="n">
        <v>1020404</v>
      </c>
      <c r="E112" s="80" t="inlineStr">
        <is>
          <t>MICA A3 PARA ENMICADO TERMICO POR 100 PZ</t>
        </is>
      </c>
      <c r="F112" s="67" t="inlineStr">
        <is>
          <t>PQT</t>
        </is>
      </c>
      <c r="G112" s="84" t="n">
        <v>1</v>
      </c>
      <c r="H112" s="57" t="inlineStr"/>
      <c r="I112" s="139" t="n">
        <v>111.86</v>
      </c>
      <c r="J112" s="140" t="n">
        <v>111.86</v>
      </c>
      <c r="K112" s="86" t="inlineStr">
        <is>
          <t>PEN</t>
        </is>
      </c>
    </row>
    <row r="113">
      <c r="A113" s="84" t="n">
        <v>32004704</v>
      </c>
      <c r="B113" s="67" t="inlineStr">
        <is>
          <t>TPSU</t>
        </is>
      </c>
      <c r="C113" s="90" t="inlineStr">
        <is>
          <t>L001</t>
        </is>
      </c>
      <c r="D113" s="84" t="n">
        <v>1020404</v>
      </c>
      <c r="E113" s="80" t="inlineStr">
        <is>
          <t>MICA A4 PARA ENMICADO TERMICO POR 100 PZ</t>
        </is>
      </c>
      <c r="F113" s="67" t="inlineStr">
        <is>
          <t>PQT</t>
        </is>
      </c>
      <c r="G113" s="84" t="n">
        <v>2</v>
      </c>
      <c r="H113" s="57" t="inlineStr"/>
      <c r="I113" s="139" t="n">
        <v>137.72</v>
      </c>
      <c r="J113" s="140" t="n">
        <v>68.86</v>
      </c>
      <c r="K113" s="86" t="inlineStr">
        <is>
          <t>PEN</t>
        </is>
      </c>
    </row>
    <row r="114">
      <c r="A114" s="84" t="n">
        <v>32005171</v>
      </c>
      <c r="B114" s="67" t="inlineStr">
        <is>
          <t>TPSU</t>
        </is>
      </c>
      <c r="C114" s="90" t="inlineStr">
        <is>
          <t>L001</t>
        </is>
      </c>
      <c r="D114" s="84" t="n">
        <v>1020404</v>
      </c>
      <c r="E114" s="80" t="inlineStr">
        <is>
          <t>TABLERO ACRILICO OFICIO CLIPBOARD</t>
        </is>
      </c>
      <c r="F114" s="67" t="inlineStr">
        <is>
          <t>UN</t>
        </is>
      </c>
      <c r="G114" s="84" t="n">
        <v>5</v>
      </c>
      <c r="H114" s="57" t="inlineStr"/>
      <c r="I114" s="139" t="n">
        <v>34.69</v>
      </c>
      <c r="J114" s="140" t="n">
        <v>6.938</v>
      </c>
      <c r="K114" s="86" t="inlineStr">
        <is>
          <t>PEN</t>
        </is>
      </c>
    </row>
    <row r="115">
      <c r="A115" s="84" t="n">
        <v>32003496</v>
      </c>
      <c r="B115" s="67" t="inlineStr">
        <is>
          <t>TPSU</t>
        </is>
      </c>
      <c r="C115" s="90" t="inlineStr">
        <is>
          <t>L001</t>
        </is>
      </c>
      <c r="D115" s="84" t="n">
        <v>1020405</v>
      </c>
      <c r="E115" s="80" t="inlineStr">
        <is>
          <t>ARCHIVADOR PALANCA - A4 LOMO DELGADO</t>
        </is>
      </c>
      <c r="F115" s="67" t="inlineStr">
        <is>
          <t>UN</t>
        </is>
      </c>
      <c r="G115" s="84" t="n">
        <v>7</v>
      </c>
      <c r="H115" s="57" t="inlineStr"/>
      <c r="I115" s="139" t="n">
        <v>27.23</v>
      </c>
      <c r="J115" s="140" t="n">
        <v>3.89</v>
      </c>
      <c r="K115" s="86" t="inlineStr">
        <is>
          <t>PEN</t>
        </is>
      </c>
    </row>
    <row r="116">
      <c r="A116" s="84" t="n">
        <v>32005523</v>
      </c>
      <c r="B116" s="67" t="inlineStr">
        <is>
          <t>TPSU</t>
        </is>
      </c>
      <c r="C116" s="90" t="inlineStr">
        <is>
          <t>L001</t>
        </is>
      </c>
      <c r="D116" s="84" t="n">
        <v>1020501</v>
      </c>
      <c r="E116" s="80" t="inlineStr">
        <is>
          <t>BOLIGRAFO AZUL PUNTA FINA</t>
        </is>
      </c>
      <c r="F116" s="67" t="inlineStr">
        <is>
          <t>UN</t>
        </is>
      </c>
      <c r="G116" s="84" t="n">
        <v>41</v>
      </c>
      <c r="H116" s="57" t="inlineStr"/>
      <c r="I116" s="139" t="n">
        <v>15.98</v>
      </c>
      <c r="J116" s="140" t="n">
        <v>0.3897560975609756</v>
      </c>
      <c r="K116" s="86" t="inlineStr">
        <is>
          <t>PEN</t>
        </is>
      </c>
    </row>
    <row r="117">
      <c r="A117" s="84" t="n">
        <v>32005524</v>
      </c>
      <c r="B117" s="67" t="inlineStr">
        <is>
          <t>TPSU</t>
        </is>
      </c>
      <c r="C117" s="90" t="inlineStr">
        <is>
          <t>L001</t>
        </is>
      </c>
      <c r="D117" s="84" t="n">
        <v>1020501</v>
      </c>
      <c r="E117" s="80" t="inlineStr">
        <is>
          <t>BOLIGRAFO NEGRO PUNTA FINA</t>
        </is>
      </c>
      <c r="F117" s="67" t="inlineStr">
        <is>
          <t>UN</t>
        </is>
      </c>
      <c r="G117" s="84" t="n">
        <v>17</v>
      </c>
      <c r="H117" s="57" t="inlineStr"/>
      <c r="I117" s="139" t="n">
        <v>6.63</v>
      </c>
      <c r="J117" s="140" t="n">
        <v>0.39</v>
      </c>
      <c r="K117" s="86" t="inlineStr">
        <is>
          <t>PEN</t>
        </is>
      </c>
    </row>
    <row r="118">
      <c r="A118" s="84" t="n">
        <v>32005525</v>
      </c>
      <c r="B118" s="67" t="inlineStr">
        <is>
          <t>TPSU</t>
        </is>
      </c>
      <c r="C118" s="90" t="inlineStr">
        <is>
          <t>L001</t>
        </is>
      </c>
      <c r="D118" s="84" t="n">
        <v>1020501</v>
      </c>
      <c r="E118" s="80" t="inlineStr">
        <is>
          <t>BOLIGRAFO ROJO PUNTA FINA</t>
        </is>
      </c>
      <c r="F118" s="67" t="inlineStr">
        <is>
          <t>UN</t>
        </is>
      </c>
      <c r="G118" s="84" t="n">
        <v>6</v>
      </c>
      <c r="H118" s="57" t="inlineStr"/>
      <c r="I118" s="139" t="n">
        <v>7.46</v>
      </c>
      <c r="J118" s="140" t="n">
        <v>1.243333333333333</v>
      </c>
      <c r="K118" s="86" t="inlineStr">
        <is>
          <t>PEN</t>
        </is>
      </c>
    </row>
    <row r="119">
      <c r="A119" s="84" t="n">
        <v>32005540</v>
      </c>
      <c r="B119" s="67" t="inlineStr">
        <is>
          <t>TPSU</t>
        </is>
      </c>
      <c r="C119" s="90" t="inlineStr">
        <is>
          <t>L001</t>
        </is>
      </c>
      <c r="D119" s="84" t="n">
        <v>1020501</v>
      </c>
      <c r="E119" s="80" t="inlineStr">
        <is>
          <t>LAPIZ MONGOL NRO. 2</t>
        </is>
      </c>
      <c r="F119" s="67" t="inlineStr">
        <is>
          <t>UN</t>
        </is>
      </c>
      <c r="G119" s="84" t="n">
        <v>10</v>
      </c>
      <c r="H119" s="57" t="inlineStr"/>
      <c r="I119" s="139" t="n">
        <v>8.619999999999999</v>
      </c>
      <c r="J119" s="140" t="n">
        <v>0.8619999999999999</v>
      </c>
      <c r="K119" s="86" t="inlineStr">
        <is>
          <t>PEN</t>
        </is>
      </c>
    </row>
    <row r="120">
      <c r="A120" s="84" t="n">
        <v>32005549</v>
      </c>
      <c r="B120" s="67" t="inlineStr">
        <is>
          <t>TPSU</t>
        </is>
      </c>
      <c r="C120" s="90" t="inlineStr">
        <is>
          <t>L001</t>
        </is>
      </c>
      <c r="D120" s="84" t="n">
        <v>1020502</v>
      </c>
      <c r="E120" s="80" t="inlineStr">
        <is>
          <t>PLUMON P/PIZARRA ACRILICA AZUL Nº 123</t>
        </is>
      </c>
      <c r="F120" s="67" t="inlineStr">
        <is>
          <t>UN</t>
        </is>
      </c>
      <c r="G120" s="84" t="n">
        <v>1</v>
      </c>
      <c r="H120" s="57" t="inlineStr"/>
      <c r="I120" s="139" t="n">
        <v>1.47</v>
      </c>
      <c r="J120" s="140" t="n">
        <v>1.47</v>
      </c>
      <c r="K120" s="86" t="inlineStr">
        <is>
          <t>PEN</t>
        </is>
      </c>
    </row>
    <row r="121">
      <c r="A121" s="84" t="n">
        <v>32005550</v>
      </c>
      <c r="B121" s="67" t="inlineStr">
        <is>
          <t>TPSU</t>
        </is>
      </c>
      <c r="C121" s="90" t="inlineStr">
        <is>
          <t>L001</t>
        </is>
      </c>
      <c r="D121" s="84" t="n">
        <v>1020502</v>
      </c>
      <c r="E121" s="80" t="inlineStr">
        <is>
          <t>PLUMON P/PIZARRA ACRILICA NEGRO Nº 123</t>
        </is>
      </c>
      <c r="F121" s="67" t="inlineStr">
        <is>
          <t>UN</t>
        </is>
      </c>
      <c r="G121" s="84" t="n">
        <v>18</v>
      </c>
      <c r="H121" s="57" t="inlineStr"/>
      <c r="I121" s="139" t="n">
        <v>21.09</v>
      </c>
      <c r="J121" s="140" t="n">
        <v>1.171666666666667</v>
      </c>
      <c r="K121" s="86" t="inlineStr">
        <is>
          <t>PEN</t>
        </is>
      </c>
    </row>
    <row r="122">
      <c r="A122" s="84" t="n">
        <v>32005551</v>
      </c>
      <c r="B122" s="67" t="inlineStr">
        <is>
          <t>TPSU</t>
        </is>
      </c>
      <c r="C122" s="90" t="inlineStr">
        <is>
          <t>L001</t>
        </is>
      </c>
      <c r="D122" s="84" t="n">
        <v>1020502</v>
      </c>
      <c r="E122" s="80" t="inlineStr">
        <is>
          <t>PLUMON P/PIZARRA ACRILICA ROJO Nº 123</t>
        </is>
      </c>
      <c r="F122" s="67" t="inlineStr">
        <is>
          <t>UN</t>
        </is>
      </c>
      <c r="G122" s="84" t="n">
        <v>7</v>
      </c>
      <c r="H122" s="57" t="inlineStr"/>
      <c r="I122" s="139" t="n">
        <v>8.52</v>
      </c>
      <c r="J122" s="140" t="n">
        <v>1.217142857142857</v>
      </c>
      <c r="K122" s="86" t="inlineStr">
        <is>
          <t>PEN</t>
        </is>
      </c>
    </row>
    <row r="123">
      <c r="A123" s="84" t="n">
        <v>32005552</v>
      </c>
      <c r="B123" s="67" t="inlineStr">
        <is>
          <t>TPSU</t>
        </is>
      </c>
      <c r="C123" s="90" t="inlineStr">
        <is>
          <t>L001</t>
        </is>
      </c>
      <c r="D123" s="84" t="n">
        <v>1020502</v>
      </c>
      <c r="E123" s="80" t="inlineStr">
        <is>
          <t>PLUMON P/PIZARRA ACRILICA VERDE Nº 123</t>
        </is>
      </c>
      <c r="F123" s="67" t="inlineStr">
        <is>
          <t>UN</t>
        </is>
      </c>
      <c r="G123" s="84" t="n">
        <v>16</v>
      </c>
      <c r="H123" s="57" t="inlineStr"/>
      <c r="I123" s="139" t="n">
        <v>18.23</v>
      </c>
      <c r="J123" s="140" t="n">
        <v>1.139375</v>
      </c>
      <c r="K123" s="86" t="inlineStr">
        <is>
          <t>PEN</t>
        </is>
      </c>
    </row>
    <row r="124">
      <c r="A124" s="84" t="n">
        <v>32004042</v>
      </c>
      <c r="B124" s="67" t="inlineStr">
        <is>
          <t>TPSU</t>
        </is>
      </c>
      <c r="C124" s="90" t="inlineStr">
        <is>
          <t>L001</t>
        </is>
      </c>
      <c r="D124" s="84" t="n">
        <v>1020503</v>
      </c>
      <c r="E124" s="80" t="inlineStr">
        <is>
          <t>CORRECTOR LIQUID PAPER (TIPO LAPICERO)</t>
        </is>
      </c>
      <c r="F124" s="67" t="inlineStr">
        <is>
          <t>FCO</t>
        </is>
      </c>
      <c r="G124" s="84" t="n">
        <v>12</v>
      </c>
      <c r="H124" s="57" t="inlineStr"/>
      <c r="I124" s="139" t="n">
        <v>14.16</v>
      </c>
      <c r="J124" s="140" t="n">
        <v>1.18</v>
      </c>
      <c r="K124" s="86" t="inlineStr">
        <is>
          <t>PEN</t>
        </is>
      </c>
    </row>
    <row r="125">
      <c r="A125" s="84" t="n">
        <v>32005465</v>
      </c>
      <c r="B125" s="67" t="inlineStr">
        <is>
          <t>TPSU</t>
        </is>
      </c>
      <c r="C125" s="90" t="inlineStr">
        <is>
          <t>L001</t>
        </is>
      </c>
      <c r="D125" s="84" t="n">
        <v>1020503</v>
      </c>
      <c r="E125" s="80" t="inlineStr">
        <is>
          <t>PLUMON INDELEBLE PUNTA FINA VERDE 421-F</t>
        </is>
      </c>
      <c r="F125" s="67" t="inlineStr">
        <is>
          <t>UN</t>
        </is>
      </c>
      <c r="G125" s="84" t="n">
        <v>14</v>
      </c>
      <c r="H125" s="57" t="inlineStr"/>
      <c r="I125" s="139" t="n">
        <v>32.76</v>
      </c>
      <c r="J125" s="140" t="n">
        <v>2.34</v>
      </c>
      <c r="K125" s="86" t="inlineStr">
        <is>
          <t>PEN</t>
        </is>
      </c>
    </row>
    <row r="126">
      <c r="A126" s="84" t="n">
        <v>32005548</v>
      </c>
      <c r="B126" s="67" t="inlineStr">
        <is>
          <t>TPSU</t>
        </is>
      </c>
      <c r="C126" s="90" t="inlineStr">
        <is>
          <t>L001</t>
        </is>
      </c>
      <c r="D126" s="84" t="n">
        <v>1020503</v>
      </c>
      <c r="E126" s="80" t="inlineStr">
        <is>
          <t>PLUMON INDELEBLE PUNTA GRUESA NEGRO</t>
        </is>
      </c>
      <c r="F126" s="67" t="inlineStr">
        <is>
          <t>UN</t>
        </is>
      </c>
      <c r="G126" s="84" t="n">
        <v>18</v>
      </c>
      <c r="H126" s="57" t="inlineStr"/>
      <c r="I126" s="139" t="n">
        <v>45.07</v>
      </c>
      <c r="J126" s="140" t="n">
        <v>2.503888888888889</v>
      </c>
      <c r="K126" s="86" t="inlineStr">
        <is>
          <t>PEN</t>
        </is>
      </c>
    </row>
    <row r="127">
      <c r="A127" s="84" t="n">
        <v>32005032</v>
      </c>
      <c r="B127" s="67" t="inlineStr">
        <is>
          <t>TPSU</t>
        </is>
      </c>
      <c r="C127" s="90" t="inlineStr">
        <is>
          <t>L001</t>
        </is>
      </c>
      <c r="D127" s="84" t="n">
        <v>1020503</v>
      </c>
      <c r="E127" s="80" t="inlineStr">
        <is>
          <t>RESALTADOR FOSFORESCENTE C/AMARILLO</t>
        </is>
      </c>
      <c r="F127" s="67" t="inlineStr">
        <is>
          <t>UN</t>
        </is>
      </c>
      <c r="G127" s="84" t="n">
        <v>15</v>
      </c>
      <c r="H127" s="57" t="inlineStr"/>
      <c r="I127" s="139" t="n">
        <v>24.29</v>
      </c>
      <c r="J127" s="140" t="n">
        <v>1.619333333333333</v>
      </c>
      <c r="K127" s="86" t="inlineStr">
        <is>
          <t>PEN</t>
        </is>
      </c>
    </row>
    <row r="128">
      <c r="A128" s="84" t="n">
        <v>32004846</v>
      </c>
      <c r="B128" s="67" t="inlineStr">
        <is>
          <t>TPSU</t>
        </is>
      </c>
      <c r="C128" s="90" t="inlineStr">
        <is>
          <t>L001</t>
        </is>
      </c>
      <c r="D128" s="84" t="n">
        <v>1020601</v>
      </c>
      <c r="E128" s="80" t="inlineStr">
        <is>
          <t>PAPEL BOND CONTINUO OFICIO SEMIC. AUTOC.</t>
        </is>
      </c>
      <c r="F128" s="67" t="inlineStr">
        <is>
          <t>MIL</t>
        </is>
      </c>
      <c r="G128" s="84" t="n">
        <v>2</v>
      </c>
      <c r="H128" s="57" t="inlineStr"/>
      <c r="I128" s="139" t="n">
        <v>270.87</v>
      </c>
      <c r="J128" s="140" t="n">
        <v>135.435</v>
      </c>
      <c r="K128" s="86" t="inlineStr">
        <is>
          <t>PEN</t>
        </is>
      </c>
    </row>
    <row r="129">
      <c r="A129" s="84" t="n">
        <v>32004850</v>
      </c>
      <c r="B129" s="67" t="inlineStr">
        <is>
          <t>TPSU</t>
        </is>
      </c>
      <c r="C129" s="90" t="inlineStr">
        <is>
          <t>L001</t>
        </is>
      </c>
      <c r="D129" s="84" t="n">
        <v>1020601</v>
      </c>
      <c r="E129" s="80" t="inlineStr">
        <is>
          <t>PAPEL CONSOLA 9 1/2 X 6 X 3 AUTOC DESG 2</t>
        </is>
      </c>
      <c r="F129" s="67" t="inlineStr">
        <is>
          <t>MIL</t>
        </is>
      </c>
      <c r="G129" s="84" t="n">
        <v>1</v>
      </c>
      <c r="H129" s="57" t="inlineStr"/>
      <c r="I129" s="139" t="n">
        <v>84.87</v>
      </c>
      <c r="J129" s="140" t="n">
        <v>84.87</v>
      </c>
      <c r="K129" s="86" t="inlineStr">
        <is>
          <t>PEN</t>
        </is>
      </c>
    </row>
    <row r="130">
      <c r="A130" s="84" t="n">
        <v>32005531</v>
      </c>
      <c r="B130" s="67" t="inlineStr">
        <is>
          <t>TPSU</t>
        </is>
      </c>
      <c r="C130" s="90" t="inlineStr">
        <is>
          <t>L001</t>
        </is>
      </c>
      <c r="D130" s="84" t="n">
        <v>1020602</v>
      </c>
      <c r="E130" s="80" t="inlineStr">
        <is>
          <t>CINTA MASKING TAPE 1" X 55YDS</t>
        </is>
      </c>
      <c r="F130" s="67" t="inlineStr">
        <is>
          <t>ROL</t>
        </is>
      </c>
      <c r="G130" s="84" t="n">
        <v>3</v>
      </c>
      <c r="H130" s="57" t="inlineStr"/>
      <c r="I130" s="139" t="n">
        <v>13.87</v>
      </c>
      <c r="J130" s="140" t="n">
        <v>4.623333333333333</v>
      </c>
      <c r="K130" s="86" t="inlineStr">
        <is>
          <t>PEN</t>
        </is>
      </c>
    </row>
    <row r="131">
      <c r="A131" s="84" t="n">
        <v>31009340</v>
      </c>
      <c r="B131" s="67" t="inlineStr">
        <is>
          <t>TPSU</t>
        </is>
      </c>
      <c r="C131" s="90" t="inlineStr">
        <is>
          <t>L001</t>
        </is>
      </c>
      <c r="D131" s="84" t="n">
        <v>1020602</v>
      </c>
      <c r="E131" s="80" t="inlineStr">
        <is>
          <t>CINTA MASKING TAPE 2" X 55YDS</t>
        </is>
      </c>
      <c r="F131" s="67" t="inlineStr">
        <is>
          <t>ROL</t>
        </is>
      </c>
      <c r="G131" s="84" t="n">
        <v>2</v>
      </c>
      <c r="H131" s="57" t="inlineStr"/>
      <c r="I131" s="139" t="n">
        <v>17.04</v>
      </c>
      <c r="J131" s="140" t="n">
        <v>8.52</v>
      </c>
      <c r="K131" s="86" t="inlineStr">
        <is>
          <t>PEN</t>
        </is>
      </c>
    </row>
    <row r="132">
      <c r="A132" s="84" t="n">
        <v>31009328</v>
      </c>
      <c r="B132" s="67" t="inlineStr">
        <is>
          <t>TPSU</t>
        </is>
      </c>
      <c r="C132" s="90" t="inlineStr">
        <is>
          <t>L001</t>
        </is>
      </c>
      <c r="D132" s="84" t="n">
        <v>1020603</v>
      </c>
      <c r="E132" s="80" t="inlineStr">
        <is>
          <t>CINTA ADHESIVA ALUMINIO 3M</t>
        </is>
      </c>
      <c r="F132" s="67" t="inlineStr">
        <is>
          <t>ROL</t>
        </is>
      </c>
      <c r="G132" s="84" t="n">
        <v>5</v>
      </c>
      <c r="H132" s="57" t="inlineStr"/>
      <c r="I132" s="139" t="n">
        <v>341.07</v>
      </c>
      <c r="J132" s="140" t="n">
        <v>68.214</v>
      </c>
      <c r="K132" s="86" t="inlineStr">
        <is>
          <t>PEN</t>
        </is>
      </c>
    </row>
    <row r="133">
      <c r="A133" s="84" t="n">
        <v>20000546</v>
      </c>
      <c r="B133" s="67" t="inlineStr">
        <is>
          <t>TPSU</t>
        </is>
      </c>
      <c r="C133" s="90" t="inlineStr">
        <is>
          <t>L001</t>
        </is>
      </c>
      <c r="D133" s="84" t="n">
        <v>1020603</v>
      </c>
      <c r="E133" s="80" t="inlineStr">
        <is>
          <t>CINTA EMB TRANSP 2" X 110 YDS. 45 MICR</t>
        </is>
      </c>
      <c r="F133" s="67" t="inlineStr">
        <is>
          <t>ROL</t>
        </is>
      </c>
      <c r="G133" s="84" t="n">
        <v>20</v>
      </c>
      <c r="H133" s="57" t="inlineStr">
        <is>
          <t>020381</t>
        </is>
      </c>
      <c r="I133" s="139" t="n">
        <v>108.9</v>
      </c>
      <c r="J133" s="140" t="n">
        <v>5.445</v>
      </c>
      <c r="K133" s="86" t="inlineStr">
        <is>
          <t>PEN</t>
        </is>
      </c>
    </row>
    <row r="134">
      <c r="A134" s="84" t="n">
        <v>20000545</v>
      </c>
      <c r="B134" s="67" t="inlineStr">
        <is>
          <t>TPSU</t>
        </is>
      </c>
      <c r="C134" s="90" t="inlineStr">
        <is>
          <t>L001</t>
        </is>
      </c>
      <c r="D134" s="84" t="n">
        <v>1020604</v>
      </c>
      <c r="E134" s="80" t="inlineStr">
        <is>
          <t>CINTA DE EMBALAJE 2"X110 YDS. C/LOGO</t>
        </is>
      </c>
      <c r="F134" s="67" t="inlineStr">
        <is>
          <t>ROL</t>
        </is>
      </c>
      <c r="G134" s="84" t="n">
        <v>13</v>
      </c>
      <c r="H134" s="57" t="inlineStr">
        <is>
          <t>0230087</t>
        </is>
      </c>
      <c r="I134" s="139" t="n">
        <v>43.55</v>
      </c>
      <c r="J134" s="140" t="n">
        <v>3.35</v>
      </c>
      <c r="K134" s="86" t="inlineStr">
        <is>
          <t>PEN</t>
        </is>
      </c>
    </row>
    <row r="135">
      <c r="A135" s="84" t="n">
        <v>32005568</v>
      </c>
      <c r="B135" s="67" t="inlineStr">
        <is>
          <t>TPSU</t>
        </is>
      </c>
      <c r="C135" s="90" t="inlineStr">
        <is>
          <t>L001</t>
        </is>
      </c>
      <c r="D135" s="84" t="n">
        <v>1020604</v>
      </c>
      <c r="E135" s="80" t="inlineStr">
        <is>
          <t>VINIFAN CRISTAL TAMAÑO OFICIO</t>
        </is>
      </c>
      <c r="F135" s="67" t="inlineStr">
        <is>
          <t>ROL</t>
        </is>
      </c>
      <c r="G135" s="84" t="n">
        <v>3</v>
      </c>
      <c r="H135" s="57" t="inlineStr"/>
      <c r="I135" s="139" t="n">
        <v>14.5</v>
      </c>
      <c r="J135" s="140" t="n">
        <v>4.833333333333333</v>
      </c>
      <c r="K135" s="86" t="inlineStr">
        <is>
          <t>PEN</t>
        </is>
      </c>
    </row>
    <row r="136">
      <c r="A136" s="84" t="n">
        <v>32005228</v>
      </c>
      <c r="B136" s="67" t="inlineStr">
        <is>
          <t>TPSU</t>
        </is>
      </c>
      <c r="C136" s="90" t="inlineStr">
        <is>
          <t>L001</t>
        </is>
      </c>
      <c r="D136" s="84" t="n">
        <v>1020605</v>
      </c>
      <c r="E136" s="80" t="inlineStr">
        <is>
          <t>TARJETA DE IDENTIFICACION AMARILLO</t>
        </is>
      </c>
      <c r="F136" s="67" t="inlineStr">
        <is>
          <t>MIL</t>
        </is>
      </c>
      <c r="G136" s="84" t="n">
        <v>0.11</v>
      </c>
      <c r="H136" s="57" t="inlineStr"/>
      <c r="I136" s="139" t="n">
        <v>37.84</v>
      </c>
      <c r="J136" s="140" t="n">
        <v>344.0000000000001</v>
      </c>
      <c r="K136" s="86" t="inlineStr">
        <is>
          <t>PEN</t>
        </is>
      </c>
    </row>
    <row r="137">
      <c r="A137" s="84" t="n">
        <v>32005230</v>
      </c>
      <c r="B137" s="67" t="inlineStr">
        <is>
          <t>TPSU</t>
        </is>
      </c>
      <c r="C137" s="90" t="inlineStr">
        <is>
          <t>L001</t>
        </is>
      </c>
      <c r="D137" s="84" t="n">
        <v>1020605</v>
      </c>
      <c r="E137" s="80" t="inlineStr">
        <is>
          <t>TARJETA DE IDENTIFICACION ROJA</t>
        </is>
      </c>
      <c r="F137" s="67" t="inlineStr">
        <is>
          <t>MIL</t>
        </is>
      </c>
      <c r="G137" s="84" t="n">
        <v>0.05</v>
      </c>
      <c r="H137" s="57" t="inlineStr"/>
      <c r="I137" s="139" t="n">
        <v>23.44</v>
      </c>
      <c r="J137" s="140" t="n">
        <v>468.8</v>
      </c>
      <c r="K137" s="86" t="inlineStr">
        <is>
          <t>PEN</t>
        </is>
      </c>
    </row>
    <row r="138">
      <c r="A138" s="84" t="n">
        <v>32005231</v>
      </c>
      <c r="B138" s="67" t="inlineStr">
        <is>
          <t>TPSU</t>
        </is>
      </c>
      <c r="C138" s="90" t="inlineStr">
        <is>
          <t>L001</t>
        </is>
      </c>
      <c r="D138" s="84" t="n">
        <v>1020605</v>
      </c>
      <c r="E138" s="80" t="inlineStr">
        <is>
          <t>TARJETA DE IDENTIFICACION VERDE</t>
        </is>
      </c>
      <c r="F138" s="67" t="inlineStr">
        <is>
          <t>MIL</t>
        </is>
      </c>
      <c r="G138" s="84" t="n">
        <v>0.05</v>
      </c>
      <c r="H138" s="57" t="inlineStr"/>
      <c r="I138" s="139" t="n">
        <v>11.3</v>
      </c>
      <c r="J138" s="140" t="n">
        <v>226</v>
      </c>
      <c r="K138" s="86" t="inlineStr">
        <is>
          <t>PEN</t>
        </is>
      </c>
    </row>
    <row r="139">
      <c r="A139" s="84" t="n">
        <v>32004050</v>
      </c>
      <c r="B139" s="67" t="inlineStr">
        <is>
          <t>TPSU</t>
        </is>
      </c>
      <c r="C139" s="90" t="inlineStr">
        <is>
          <t>L001</t>
        </is>
      </c>
      <c r="D139" s="84" t="n">
        <v>1020702</v>
      </c>
      <c r="E139" s="80" t="inlineStr">
        <is>
          <t>CUADERNO CUADRICULADO 180 HOJAS ESPIRAL</t>
        </is>
      </c>
      <c r="F139" s="67" t="inlineStr">
        <is>
          <t>UN</t>
        </is>
      </c>
      <c r="G139" s="84" t="n">
        <v>8</v>
      </c>
      <c r="H139" s="57" t="inlineStr"/>
      <c r="I139" s="139" t="n">
        <v>279.69</v>
      </c>
      <c r="J139" s="140" t="n">
        <v>34.96125</v>
      </c>
      <c r="K139" s="86" t="inlineStr">
        <is>
          <t>PEN</t>
        </is>
      </c>
    </row>
    <row r="140">
      <c r="A140" s="84" t="n">
        <v>32004842</v>
      </c>
      <c r="B140" s="67" t="inlineStr">
        <is>
          <t>TPSU</t>
        </is>
      </c>
      <c r="C140" s="90" t="inlineStr">
        <is>
          <t>L001</t>
        </is>
      </c>
      <c r="D140" s="84" t="n">
        <v>1020702</v>
      </c>
      <c r="E140" s="80" t="inlineStr">
        <is>
          <t>PAPEL AUTOCOPIATIVO ORIGINAL Y 2 COPIAS</t>
        </is>
      </c>
      <c r="F140" s="67" t="inlineStr">
        <is>
          <t>ROL</t>
        </is>
      </c>
      <c r="G140" s="84" t="n">
        <v>25</v>
      </c>
      <c r="H140" s="57" t="inlineStr"/>
      <c r="I140" s="139" t="n">
        <v>2334.77</v>
      </c>
      <c r="J140" s="140" t="n">
        <v>93.3908</v>
      </c>
      <c r="K140" s="86" t="inlineStr">
        <is>
          <t>PEN</t>
        </is>
      </c>
    </row>
    <row r="141">
      <c r="A141" s="84" t="n">
        <v>32004046</v>
      </c>
      <c r="B141" s="67" t="inlineStr">
        <is>
          <t>TPSU</t>
        </is>
      </c>
      <c r="C141" s="90" t="inlineStr">
        <is>
          <t>L001</t>
        </is>
      </c>
      <c r="D141" s="84" t="n">
        <v>1020703</v>
      </c>
      <c r="E141" s="80" t="inlineStr">
        <is>
          <t>CUADERNILLO DECLARAC. DIARIA ZARPE E/P</t>
        </is>
      </c>
      <c r="F141" s="67" t="inlineStr">
        <is>
          <t>UN</t>
        </is>
      </c>
      <c r="G141" s="84" t="n">
        <v>18</v>
      </c>
      <c r="H141" s="57" t="inlineStr"/>
      <c r="I141" s="139" t="n">
        <v>182.91</v>
      </c>
      <c r="J141" s="140" t="n">
        <v>10.16166666666667</v>
      </c>
      <c r="K141" s="86" t="inlineStr">
        <is>
          <t>PEN</t>
        </is>
      </c>
    </row>
    <row r="142">
      <c r="A142" s="84" t="n">
        <v>31012152</v>
      </c>
      <c r="B142" s="67" t="inlineStr">
        <is>
          <t>TPSU</t>
        </is>
      </c>
      <c r="C142" s="90" t="inlineStr">
        <is>
          <t>L001</t>
        </is>
      </c>
      <c r="D142" s="84" t="n">
        <v>1020703</v>
      </c>
      <c r="E142" s="80" t="inlineStr">
        <is>
          <t>PAPEL GLASSINE O CARAMELO</t>
        </is>
      </c>
      <c r="F142" s="67" t="inlineStr">
        <is>
          <t>UN</t>
        </is>
      </c>
      <c r="G142" s="84" t="n">
        <v>50</v>
      </c>
      <c r="H142" s="57" t="inlineStr">
        <is>
          <t>NUEVO</t>
        </is>
      </c>
      <c r="I142" s="139" t="n">
        <v>32.5</v>
      </c>
      <c r="J142" s="140" t="n">
        <v>0.65</v>
      </c>
      <c r="K142" s="86" t="inlineStr">
        <is>
          <t>PEN</t>
        </is>
      </c>
    </row>
    <row r="143">
      <c r="A143" s="84" t="n">
        <v>32008505</v>
      </c>
      <c r="B143" s="67" t="inlineStr">
        <is>
          <t>TPSU</t>
        </is>
      </c>
      <c r="C143" s="90" t="inlineStr">
        <is>
          <t>L001</t>
        </is>
      </c>
      <c r="D143" s="84" t="n">
        <v>1020704</v>
      </c>
      <c r="E143" s="80" t="inlineStr">
        <is>
          <t>PAPEL BOND 75GR A-4 PQTX500</t>
        </is>
      </c>
      <c r="F143" s="67" t="inlineStr">
        <is>
          <t>UN</t>
        </is>
      </c>
      <c r="G143" s="84" t="n">
        <v>23.5</v>
      </c>
      <c r="H143" s="57" t="inlineStr"/>
      <c r="I143" s="139" t="n">
        <v>307.19</v>
      </c>
      <c r="J143" s="140" t="n">
        <v>13.07191489361702</v>
      </c>
      <c r="K143" s="86" t="inlineStr">
        <is>
          <t>PEN</t>
        </is>
      </c>
    </row>
    <row r="144">
      <c r="A144" s="84" t="n">
        <v>32004417</v>
      </c>
      <c r="B144" s="67" t="inlineStr">
        <is>
          <t>TPSU</t>
        </is>
      </c>
      <c r="C144" s="90" t="inlineStr">
        <is>
          <t>L001</t>
        </is>
      </c>
      <c r="D144" s="84" t="n">
        <v>1020705</v>
      </c>
      <c r="E144" s="80" t="inlineStr">
        <is>
          <t>GUIA TRASLADO BIENES E/P EMPASTADO ADMIS</t>
        </is>
      </c>
      <c r="F144" s="67" t="inlineStr">
        <is>
          <t>UN</t>
        </is>
      </c>
      <c r="G144" s="84" t="n">
        <v>7</v>
      </c>
      <c r="H144" s="57" t="inlineStr"/>
      <c r="I144" s="139" t="n">
        <v>454.48</v>
      </c>
      <c r="J144" s="140" t="n">
        <v>64.92571428571429</v>
      </c>
      <c r="K144" s="86" t="inlineStr">
        <is>
          <t>PEN</t>
        </is>
      </c>
    </row>
    <row r="145">
      <c r="A145" s="84" t="n">
        <v>32004415</v>
      </c>
      <c r="B145" s="67" t="inlineStr">
        <is>
          <t>TPSU</t>
        </is>
      </c>
      <c r="C145" s="90" t="inlineStr">
        <is>
          <t>L001</t>
        </is>
      </c>
      <c r="D145" s="84" t="n">
        <v>1020802</v>
      </c>
      <c r="E145" s="80" t="inlineStr">
        <is>
          <t>GUIA REMISION 9.1/2"X11X6 AUTOCOPIATIV</t>
        </is>
      </c>
      <c r="F145" s="67" t="inlineStr">
        <is>
          <t>MIL</t>
        </is>
      </c>
      <c r="G145" s="84" t="n">
        <v>6</v>
      </c>
      <c r="H145" s="57" t="inlineStr"/>
      <c r="I145" s="139" t="n">
        <v>2352.05</v>
      </c>
      <c r="J145" s="140" t="n">
        <v>392.0083333333334</v>
      </c>
      <c r="K145" s="86" t="inlineStr">
        <is>
          <t>PEN</t>
        </is>
      </c>
    </row>
    <row r="146">
      <c r="A146" s="84" t="n">
        <v>32003569</v>
      </c>
      <c r="B146" s="67" t="inlineStr">
        <is>
          <t>TPSU</t>
        </is>
      </c>
      <c r="C146" s="90" t="inlineStr">
        <is>
          <t>L001</t>
        </is>
      </c>
      <c r="D146" s="84" t="n">
        <v>1020803</v>
      </c>
      <c r="E146" s="80" t="inlineStr">
        <is>
          <t>BLOCK FORMATO PTS BLOCK X 100 HOJAS</t>
        </is>
      </c>
      <c r="F146" s="67" t="inlineStr">
        <is>
          <t>UN</t>
        </is>
      </c>
      <c r="G146" s="84" t="n">
        <v>82</v>
      </c>
      <c r="H146" s="57" t="inlineStr"/>
      <c r="I146" s="139" t="n">
        <v>1066.03</v>
      </c>
      <c r="J146" s="140" t="n">
        <v>13.00036585365854</v>
      </c>
      <c r="K146" s="86" t="inlineStr">
        <is>
          <t>PEN</t>
        </is>
      </c>
    </row>
    <row r="147">
      <c r="A147" s="84" t="n">
        <v>32003567</v>
      </c>
      <c r="B147" s="67" t="inlineStr">
        <is>
          <t>TPSU</t>
        </is>
      </c>
      <c r="C147" s="90" t="inlineStr">
        <is>
          <t>L001</t>
        </is>
      </c>
      <c r="D147" s="84" t="n">
        <v>1020804</v>
      </c>
      <c r="E147" s="80" t="inlineStr">
        <is>
          <t>BLOCK FORMATO AST X 100 HOJAS</t>
        </is>
      </c>
      <c r="F147" s="67" t="inlineStr">
        <is>
          <t>UN</t>
        </is>
      </c>
      <c r="G147" s="84" t="n">
        <v>29</v>
      </c>
      <c r="H147" s="57" t="inlineStr"/>
      <c r="I147" s="139" t="n">
        <v>376.99</v>
      </c>
      <c r="J147" s="140" t="n">
        <v>12.99965517241379</v>
      </c>
      <c r="K147" s="86" t="inlineStr">
        <is>
          <t>PEN</t>
        </is>
      </c>
    </row>
    <row r="148">
      <c r="A148" s="84" t="n">
        <v>33032247</v>
      </c>
      <c r="B148" s="67" t="inlineStr">
        <is>
          <t>TPSU</t>
        </is>
      </c>
      <c r="C148" s="90" t="inlineStr">
        <is>
          <t>L001</t>
        </is>
      </c>
      <c r="D148" s="84" t="n">
        <v>1030101</v>
      </c>
      <c r="E148" s="80" t="inlineStr">
        <is>
          <t>EQUIPO FLUORESCENTE ESTANCO 2X36W 220VAC</t>
        </is>
      </c>
      <c r="F148" s="67" t="inlineStr">
        <is>
          <t>UN</t>
        </is>
      </c>
      <c r="G148" s="84" t="n">
        <v>5</v>
      </c>
      <c r="H148" s="57" t="inlineStr"/>
      <c r="I148" s="139" t="n">
        <v>376.26</v>
      </c>
      <c r="J148" s="140" t="n">
        <v>75.252</v>
      </c>
      <c r="K148" s="86" t="inlineStr">
        <is>
          <t>PEN</t>
        </is>
      </c>
    </row>
    <row r="149">
      <c r="A149" s="84" t="n">
        <v>31010655</v>
      </c>
      <c r="B149" s="67" t="inlineStr">
        <is>
          <t>TPSU</t>
        </is>
      </c>
      <c r="C149" s="90" t="inlineStr">
        <is>
          <t>L001</t>
        </is>
      </c>
      <c r="D149" s="84" t="n">
        <v>1030101</v>
      </c>
      <c r="E149" s="80" t="inlineStr">
        <is>
          <t>FLUORESCENTE RECTO 36W 220V</t>
        </is>
      </c>
      <c r="F149" s="67" t="inlineStr">
        <is>
          <t>UN</t>
        </is>
      </c>
      <c r="G149" s="84" t="n">
        <v>8</v>
      </c>
      <c r="H149" s="57" t="inlineStr"/>
      <c r="I149" s="139" t="n">
        <v>72.29000000000001</v>
      </c>
      <c r="J149" s="140" t="n">
        <v>9.036250000000001</v>
      </c>
      <c r="K149" s="86" t="inlineStr">
        <is>
          <t>PEN</t>
        </is>
      </c>
    </row>
    <row r="150">
      <c r="A150" s="84" t="n">
        <v>31010652</v>
      </c>
      <c r="B150" s="67" t="inlineStr">
        <is>
          <t>TPSU</t>
        </is>
      </c>
      <c r="C150" s="90" t="inlineStr">
        <is>
          <t>L001</t>
        </is>
      </c>
      <c r="D150" s="84" t="n">
        <v>1030102</v>
      </c>
      <c r="E150" s="80" t="inlineStr">
        <is>
          <t>FLUORESCENTE RECTO 18W 220V</t>
        </is>
      </c>
      <c r="F150" s="67" t="inlineStr">
        <is>
          <t>UN</t>
        </is>
      </c>
      <c r="G150" s="84" t="n">
        <v>9</v>
      </c>
      <c r="H150" s="57" t="inlineStr"/>
      <c r="I150" s="139" t="n">
        <v>38.92</v>
      </c>
      <c r="J150" s="140" t="n">
        <v>4.324444444444445</v>
      </c>
      <c r="K150" s="86" t="inlineStr">
        <is>
          <t>PEN</t>
        </is>
      </c>
    </row>
    <row r="151">
      <c r="A151" s="84" t="n">
        <v>31009363</v>
      </c>
      <c r="B151" s="67" t="inlineStr">
        <is>
          <t>TPSU</t>
        </is>
      </c>
      <c r="C151" s="90" t="inlineStr">
        <is>
          <t>L001</t>
        </is>
      </c>
      <c r="D151" s="84" t="n">
        <v>1030103</v>
      </c>
      <c r="E151" s="80" t="inlineStr">
        <is>
          <t>CINTILLO PLASTICO 4 X 200MM</t>
        </is>
      </c>
      <c r="F151" s="67" t="inlineStr">
        <is>
          <t>UN</t>
        </is>
      </c>
      <c r="G151" s="84" t="n">
        <v>158</v>
      </c>
      <c r="H151" s="57" t="inlineStr"/>
      <c r="I151" s="139" t="n">
        <v>19.29</v>
      </c>
      <c r="J151" s="140" t="n">
        <v>0.1220886075949367</v>
      </c>
      <c r="K151" s="86" t="inlineStr">
        <is>
          <t>PEN</t>
        </is>
      </c>
    </row>
    <row r="152">
      <c r="A152" s="84" t="n">
        <v>31009364</v>
      </c>
      <c r="B152" s="67" t="inlineStr">
        <is>
          <t>TPSU</t>
        </is>
      </c>
      <c r="C152" s="90" t="inlineStr">
        <is>
          <t>L001</t>
        </is>
      </c>
      <c r="D152" s="84" t="n">
        <v>1030103</v>
      </c>
      <c r="E152" s="80" t="inlineStr">
        <is>
          <t>CINTILLO PLASTICO 4 X 300MM</t>
        </is>
      </c>
      <c r="F152" s="67" t="inlineStr">
        <is>
          <t>UN</t>
        </is>
      </c>
      <c r="G152" s="84" t="n">
        <v>100</v>
      </c>
      <c r="H152" s="57" t="inlineStr"/>
      <c r="I152" s="139" t="n">
        <v>11.99</v>
      </c>
      <c r="J152" s="140" t="n">
        <v>0.1199</v>
      </c>
      <c r="K152" s="86" t="inlineStr">
        <is>
          <t>PEN</t>
        </is>
      </c>
    </row>
    <row r="153">
      <c r="A153" s="84" t="n">
        <v>31009358</v>
      </c>
      <c r="B153" s="67" t="inlineStr">
        <is>
          <t>TPSU</t>
        </is>
      </c>
      <c r="C153" s="90" t="inlineStr">
        <is>
          <t>L001</t>
        </is>
      </c>
      <c r="D153" s="84" t="n">
        <v>1030104</v>
      </c>
      <c r="E153" s="80" t="inlineStr">
        <is>
          <t>CINTILLO PLASTICO 2.5 X 100MM</t>
        </is>
      </c>
      <c r="F153" s="67" t="inlineStr">
        <is>
          <t>UN</t>
        </is>
      </c>
      <c r="G153" s="84" t="n">
        <v>200</v>
      </c>
      <c r="H153" s="57" t="inlineStr"/>
      <c r="I153" s="139" t="n">
        <v>28.96</v>
      </c>
      <c r="J153" s="140" t="n">
        <v>0.1448</v>
      </c>
      <c r="K153" s="86" t="inlineStr">
        <is>
          <t>PEN</t>
        </is>
      </c>
    </row>
    <row r="154">
      <c r="A154" s="84" t="n">
        <v>31009365</v>
      </c>
      <c r="B154" s="67" t="inlineStr">
        <is>
          <t>TPSU</t>
        </is>
      </c>
      <c r="C154" s="90" t="inlineStr">
        <is>
          <t>L001</t>
        </is>
      </c>
      <c r="D154" s="84" t="n">
        <v>1030104</v>
      </c>
      <c r="E154" s="80" t="inlineStr">
        <is>
          <t>CINTILLO PLASTICO 4 X 400MM</t>
        </is>
      </c>
      <c r="F154" s="67" t="inlineStr">
        <is>
          <t>UN</t>
        </is>
      </c>
      <c r="G154" s="84" t="n">
        <v>279</v>
      </c>
      <c r="H154" s="57" t="inlineStr"/>
      <c r="I154" s="139" t="n">
        <v>75.44</v>
      </c>
      <c r="J154" s="140" t="n">
        <v>0.2703942652329749</v>
      </c>
      <c r="K154" s="86" t="inlineStr">
        <is>
          <t>PEN</t>
        </is>
      </c>
    </row>
    <row r="155">
      <c r="A155" s="84" t="n">
        <v>33030834</v>
      </c>
      <c r="B155" s="67" t="inlineStr">
        <is>
          <t>TPSU</t>
        </is>
      </c>
      <c r="C155" s="90" t="inlineStr">
        <is>
          <t>L001</t>
        </is>
      </c>
      <c r="D155" s="84" t="n">
        <v>1030105</v>
      </c>
      <c r="E155" s="80" t="inlineStr">
        <is>
          <t>CAJA PASO 150X150X100MM GALV.</t>
        </is>
      </c>
      <c r="F155" s="67" t="inlineStr">
        <is>
          <t>UN</t>
        </is>
      </c>
      <c r="G155" s="84" t="n">
        <v>12</v>
      </c>
      <c r="H155" s="57" t="inlineStr"/>
      <c r="I155" s="139" t="n">
        <v>75.59999999999999</v>
      </c>
      <c r="J155" s="140" t="n">
        <v>6.3</v>
      </c>
      <c r="K155" s="86" t="inlineStr">
        <is>
          <t>PEN</t>
        </is>
      </c>
    </row>
    <row r="156">
      <c r="A156" s="84" t="n">
        <v>33042307</v>
      </c>
      <c r="B156" s="67" t="inlineStr">
        <is>
          <t>TPSU</t>
        </is>
      </c>
      <c r="C156" s="90" t="inlineStr">
        <is>
          <t>L004</t>
        </is>
      </c>
      <c r="D156" s="84" t="n">
        <v>1030105</v>
      </c>
      <c r="E156" s="80" t="inlineStr">
        <is>
          <t>CAJA PASO 160X135X83MM PVC IP55</t>
        </is>
      </c>
      <c r="F156" s="67" t="inlineStr">
        <is>
          <t>UN</t>
        </is>
      </c>
      <c r="G156" s="84" t="n">
        <v>4</v>
      </c>
      <c r="H156" s="57" t="inlineStr"/>
      <c r="I156" s="139" t="n">
        <v>90.84</v>
      </c>
      <c r="J156" s="140" t="n">
        <v>22.71</v>
      </c>
      <c r="K156" s="86" t="inlineStr">
        <is>
          <t>PEN</t>
        </is>
      </c>
    </row>
    <row r="157">
      <c r="A157" s="84" t="n">
        <v>31010153</v>
      </c>
      <c r="B157" s="67" t="inlineStr">
        <is>
          <t>TPSU</t>
        </is>
      </c>
      <c r="C157" s="90" t="inlineStr">
        <is>
          <t>L001</t>
        </is>
      </c>
      <c r="D157" s="84" t="n">
        <v>1030201</v>
      </c>
      <c r="E157" s="80" t="inlineStr">
        <is>
          <t>ENCHUFE 15A-125V</t>
        </is>
      </c>
      <c r="F157" s="67" t="inlineStr">
        <is>
          <t>UN</t>
        </is>
      </c>
      <c r="G157" s="84" t="n">
        <v>1</v>
      </c>
      <c r="H157" s="57" t="inlineStr"/>
      <c r="I157" s="139" t="n">
        <v>7.49</v>
      </c>
      <c r="J157" s="140" t="n">
        <v>7.49</v>
      </c>
      <c r="K157" s="86" t="inlineStr">
        <is>
          <t>PEN</t>
        </is>
      </c>
    </row>
    <row r="158">
      <c r="A158" s="84" t="n">
        <v>31010672</v>
      </c>
      <c r="B158" s="67" t="inlineStr">
        <is>
          <t>TPSU</t>
        </is>
      </c>
      <c r="C158" s="90" t="inlineStr">
        <is>
          <t>L001</t>
        </is>
      </c>
      <c r="D158" s="84" t="n">
        <v>1030202</v>
      </c>
      <c r="E158" s="80" t="inlineStr">
        <is>
          <t>FOCO INCANDESCENTE 220V X 75W A:31010677</t>
        </is>
      </c>
      <c r="F158" s="67" t="inlineStr">
        <is>
          <t>UN</t>
        </is>
      </c>
      <c r="G158" s="84" t="n">
        <v>1</v>
      </c>
      <c r="H158" s="57" t="inlineStr"/>
      <c r="I158" s="139" t="n">
        <v>8.449999999999999</v>
      </c>
      <c r="J158" s="140" t="n">
        <v>8.449999999999999</v>
      </c>
      <c r="K158" s="86" t="inlineStr">
        <is>
          <t>PEN</t>
        </is>
      </c>
    </row>
    <row r="159">
      <c r="A159" s="84" t="n">
        <v>31010678</v>
      </c>
      <c r="B159" s="67" t="inlineStr">
        <is>
          <t>TPSU</t>
        </is>
      </c>
      <c r="C159" s="90" t="inlineStr">
        <is>
          <t>L001</t>
        </is>
      </c>
      <c r="D159" s="84" t="n">
        <v>1030202</v>
      </c>
      <c r="E159" s="80" t="inlineStr">
        <is>
          <t>FOCO LED 7W X 12V SIMILAR A 60W</t>
        </is>
      </c>
      <c r="F159" s="67" t="inlineStr">
        <is>
          <t>UN</t>
        </is>
      </c>
      <c r="G159" s="84" t="n">
        <v>4</v>
      </c>
      <c r="H159" s="57" t="inlineStr"/>
      <c r="I159" s="139" t="n">
        <v>64.63</v>
      </c>
      <c r="J159" s="140" t="n">
        <v>16.1575</v>
      </c>
      <c r="K159" s="86" t="inlineStr">
        <is>
          <t>PEN</t>
        </is>
      </c>
    </row>
    <row r="160">
      <c r="A160" s="84" t="n">
        <v>31010666</v>
      </c>
      <c r="B160" s="67" t="inlineStr">
        <is>
          <t>TPSU</t>
        </is>
      </c>
      <c r="C160" s="90" t="inlineStr">
        <is>
          <t>L001</t>
        </is>
      </c>
      <c r="D160" s="84" t="n">
        <v>1030203</v>
      </c>
      <c r="E160" s="80" t="inlineStr">
        <is>
          <t>FOCO INCANDESCENTE 12V X 40W A:31010678</t>
        </is>
      </c>
      <c r="F160" s="67" t="inlineStr">
        <is>
          <t>UN</t>
        </is>
      </c>
      <c r="G160" s="84" t="n">
        <v>3</v>
      </c>
      <c r="H160" s="57" t="inlineStr"/>
      <c r="I160" s="139" t="n">
        <v>26.1</v>
      </c>
      <c r="J160" s="140" t="n">
        <v>8.700000000000001</v>
      </c>
      <c r="K160" s="86" t="inlineStr">
        <is>
          <t>PEN</t>
        </is>
      </c>
    </row>
    <row r="161">
      <c r="A161" s="84" t="n">
        <v>31010677</v>
      </c>
      <c r="B161" s="67" t="inlineStr">
        <is>
          <t>TPSU</t>
        </is>
      </c>
      <c r="C161" s="90" t="inlineStr">
        <is>
          <t>L001</t>
        </is>
      </c>
      <c r="D161" s="84" t="n">
        <v>1030204</v>
      </c>
      <c r="E161" s="80" t="inlineStr">
        <is>
          <t>FOCO LED 10.5W X 220V LUZ FRIA</t>
        </is>
      </c>
      <c r="F161" s="67" t="inlineStr">
        <is>
          <t>UN</t>
        </is>
      </c>
      <c r="G161" s="84" t="n">
        <v>35</v>
      </c>
      <c r="H161" s="57" t="inlineStr"/>
      <c r="I161" s="139" t="n">
        <v>115.71</v>
      </c>
      <c r="J161" s="140" t="n">
        <v>3.306</v>
      </c>
      <c r="K161" s="86" t="inlineStr">
        <is>
          <t>PEN</t>
        </is>
      </c>
    </row>
    <row r="162">
      <c r="A162" s="84" t="n">
        <v>33048530</v>
      </c>
      <c r="B162" s="67" t="inlineStr">
        <is>
          <t>TPSU</t>
        </is>
      </c>
      <c r="C162" s="90" t="inlineStr">
        <is>
          <t>L001</t>
        </is>
      </c>
      <c r="D162" s="84" t="n">
        <v>1030204</v>
      </c>
      <c r="E162" s="80" t="inlineStr">
        <is>
          <t>FOCO LED 9W X 10-30V LUZ FRIA</t>
        </is>
      </c>
      <c r="F162" s="67" t="inlineStr">
        <is>
          <t>UN</t>
        </is>
      </c>
      <c r="G162" s="84" t="n">
        <v>10</v>
      </c>
      <c r="H162" s="57" t="inlineStr"/>
      <c r="I162" s="139" t="n">
        <v>200</v>
      </c>
      <c r="J162" s="140" t="n">
        <v>20</v>
      </c>
      <c r="K162" s="86" t="inlineStr">
        <is>
          <t>PEN</t>
        </is>
      </c>
    </row>
    <row r="163">
      <c r="A163" s="84" t="n">
        <v>33039281</v>
      </c>
      <c r="B163" s="67" t="inlineStr">
        <is>
          <t>TPSU</t>
        </is>
      </c>
      <c r="C163" s="90" t="inlineStr">
        <is>
          <t>L001</t>
        </is>
      </c>
      <c r="D163" s="84" t="n">
        <v>1030301</v>
      </c>
      <c r="E163" s="80" t="inlineStr">
        <is>
          <t>TOMACTE DOBLE 10A 250V 2P+T C/CAJA</t>
        </is>
      </c>
      <c r="F163" s="67" t="inlineStr">
        <is>
          <t>UN</t>
        </is>
      </c>
      <c r="G163" s="84" t="n">
        <v>3</v>
      </c>
      <c r="H163" s="57" t="inlineStr"/>
      <c r="I163" s="139" t="n">
        <v>62.64</v>
      </c>
      <c r="J163" s="140" t="n">
        <v>20.88</v>
      </c>
      <c r="K163" s="86" t="inlineStr">
        <is>
          <t>PEN</t>
        </is>
      </c>
    </row>
    <row r="164">
      <c r="A164" s="84" t="n">
        <v>32004589</v>
      </c>
      <c r="B164" s="67" t="inlineStr">
        <is>
          <t>TPSU</t>
        </is>
      </c>
      <c r="C164" s="90" t="inlineStr">
        <is>
          <t>L001</t>
        </is>
      </c>
      <c r="D164" s="84" t="n">
        <v>1030302</v>
      </c>
      <c r="E164" s="80" t="inlineStr">
        <is>
          <t>LINTERNA ADAPTABLE PARA CASCO 300 LUMENE</t>
        </is>
      </c>
      <c r="F164" s="67" t="inlineStr">
        <is>
          <t>UN</t>
        </is>
      </c>
      <c r="G164" s="84" t="n">
        <v>80</v>
      </c>
      <c r="H164" s="57" t="inlineStr"/>
      <c r="I164" s="139" t="n">
        <v>4690.24</v>
      </c>
      <c r="J164" s="140" t="n">
        <v>58.628</v>
      </c>
      <c r="K164" s="86" t="inlineStr">
        <is>
          <t>PEN</t>
        </is>
      </c>
    </row>
    <row r="165">
      <c r="A165" s="84" t="n">
        <v>33034470</v>
      </c>
      <c r="B165" s="67" t="inlineStr">
        <is>
          <t>TPSU</t>
        </is>
      </c>
      <c r="C165" s="90" t="inlineStr">
        <is>
          <t>L001</t>
        </is>
      </c>
      <c r="D165" s="84" t="n">
        <v>1030304</v>
      </c>
      <c r="E165" s="80" t="inlineStr">
        <is>
          <t>LINTERNA MANO 4 PILAS</t>
        </is>
      </c>
      <c r="F165" s="67" t="inlineStr">
        <is>
          <t>UN</t>
        </is>
      </c>
      <c r="G165" s="84" t="n">
        <v>21</v>
      </c>
      <c r="H165" s="57" t="inlineStr"/>
      <c r="I165" s="139" t="n">
        <v>712.74</v>
      </c>
      <c r="J165" s="140" t="n">
        <v>33.94</v>
      </c>
      <c r="K165" s="86" t="inlineStr">
        <is>
          <t>PEN</t>
        </is>
      </c>
    </row>
    <row r="166">
      <c r="A166" s="84" t="n">
        <v>33042297</v>
      </c>
      <c r="B166" s="67" t="inlineStr">
        <is>
          <t>TPSU</t>
        </is>
      </c>
      <c r="C166" s="90" t="inlineStr">
        <is>
          <t>L001</t>
        </is>
      </c>
      <c r="D166" s="84" t="n">
        <v>1030401</v>
      </c>
      <c r="E166" s="80" t="inlineStr">
        <is>
          <t>INTERR. BIPOLAR GB2-CD07 2 AMP 15 Ka</t>
        </is>
      </c>
      <c r="F166" s="67" t="inlineStr">
        <is>
          <t>UN</t>
        </is>
      </c>
      <c r="G166" s="84" t="n">
        <v>2</v>
      </c>
      <c r="H166" s="57" t="inlineStr"/>
      <c r="I166" s="139" t="n">
        <v>187.94</v>
      </c>
      <c r="J166" s="140" t="n">
        <v>93.97</v>
      </c>
      <c r="K166" s="86" t="inlineStr">
        <is>
          <t>PEN</t>
        </is>
      </c>
    </row>
    <row r="167">
      <c r="A167" s="84" t="n">
        <v>31011026</v>
      </c>
      <c r="B167" s="67" t="inlineStr">
        <is>
          <t>TPSU</t>
        </is>
      </c>
      <c r="C167" s="90" t="inlineStr">
        <is>
          <t>L001</t>
        </is>
      </c>
      <c r="D167" s="84" t="n">
        <v>1030401</v>
      </c>
      <c r="E167" s="141" t="inlineStr">
        <is>
          <t>INTERR. CODILLO 15A 240V 3 POS. 6 P.</t>
        </is>
      </c>
      <c r="F167" s="67" t="inlineStr">
        <is>
          <t>UN</t>
        </is>
      </c>
      <c r="G167" s="84" t="n">
        <v>2</v>
      </c>
      <c r="H167" s="57" t="inlineStr"/>
      <c r="I167" s="139" t="n">
        <v>15.43</v>
      </c>
      <c r="J167" s="140" t="n">
        <v>7.715</v>
      </c>
      <c r="K167" s="86" t="inlineStr">
        <is>
          <t>PEN</t>
        </is>
      </c>
    </row>
    <row r="168">
      <c r="A168" s="84" t="n">
        <v>33034035</v>
      </c>
      <c r="B168" s="67" t="inlineStr">
        <is>
          <t>TPSU</t>
        </is>
      </c>
      <c r="C168" s="90" t="inlineStr">
        <is>
          <t>L004</t>
        </is>
      </c>
      <c r="D168" s="84" t="n">
        <v>1030401</v>
      </c>
      <c r="E168" s="80" t="inlineStr">
        <is>
          <t>INTERR. TERMOMAG. 2.8-4A</t>
        </is>
      </c>
      <c r="F168" s="67" t="inlineStr">
        <is>
          <t>UN</t>
        </is>
      </c>
      <c r="G168" s="84" t="n">
        <v>1</v>
      </c>
      <c r="H168" s="57" t="inlineStr"/>
      <c r="I168" s="139" t="n">
        <v>73.22</v>
      </c>
      <c r="J168" s="140" t="n">
        <v>73.22</v>
      </c>
      <c r="K168" s="86" t="inlineStr">
        <is>
          <t>PEN</t>
        </is>
      </c>
    </row>
    <row r="169">
      <c r="A169" s="84" t="n">
        <v>33042285</v>
      </c>
      <c r="B169" s="67" t="inlineStr">
        <is>
          <t>TPSU</t>
        </is>
      </c>
      <c r="C169" s="90" t="inlineStr">
        <is>
          <t>L004</t>
        </is>
      </c>
      <c r="D169" s="84" t="n">
        <v>1030402</v>
      </c>
      <c r="E169" s="141" t="inlineStr">
        <is>
          <t>GUARDAMOTOR GV2-ME08 DE 2.5 -4 A</t>
        </is>
      </c>
      <c r="F169" s="67" t="inlineStr">
        <is>
          <t>UN</t>
        </is>
      </c>
      <c r="G169" s="84" t="n">
        <v>1</v>
      </c>
      <c r="H169" s="57" t="inlineStr"/>
      <c r="I169" s="139" t="n">
        <v>191.47</v>
      </c>
      <c r="J169" s="140" t="n">
        <v>191.47</v>
      </c>
      <c r="K169" s="86" t="inlineStr">
        <is>
          <t>PEN</t>
        </is>
      </c>
    </row>
    <row r="170">
      <c r="A170" s="84" t="n">
        <v>33042286</v>
      </c>
      <c r="B170" s="67" t="inlineStr">
        <is>
          <t>TPSU</t>
        </is>
      </c>
      <c r="C170" s="90" t="inlineStr">
        <is>
          <t>L001</t>
        </is>
      </c>
      <c r="D170" s="84" t="n">
        <v>1030402</v>
      </c>
      <c r="E170" s="141" t="inlineStr">
        <is>
          <t>GUARDAMOTOR GV2-ME10 DE 4-6 A</t>
        </is>
      </c>
      <c r="F170" s="67" t="inlineStr">
        <is>
          <t>UN</t>
        </is>
      </c>
      <c r="G170" s="84" t="n">
        <v>1</v>
      </c>
      <c r="H170" s="57" t="inlineStr"/>
      <c r="I170" s="139" t="n">
        <v>168.48</v>
      </c>
      <c r="J170" s="140" t="n">
        <v>168.48</v>
      </c>
      <c r="K170" s="86" t="inlineStr">
        <is>
          <t>PEN</t>
        </is>
      </c>
    </row>
    <row r="171">
      <c r="A171" s="84" t="n">
        <v>31010935</v>
      </c>
      <c r="B171" s="67" t="inlineStr">
        <is>
          <t>TPSU</t>
        </is>
      </c>
      <c r="C171" s="90" t="inlineStr">
        <is>
          <t>L001</t>
        </is>
      </c>
      <c r="D171" s="84" t="n">
        <v>1030402</v>
      </c>
      <c r="E171" s="141" t="inlineStr">
        <is>
          <t>GUARDAMOTOR GV3-ME63 DE 40-63 A</t>
        </is>
      </c>
      <c r="F171" s="67" t="inlineStr">
        <is>
          <t>UN</t>
        </is>
      </c>
      <c r="G171" s="84" t="n">
        <v>1</v>
      </c>
      <c r="H171" s="57" t="inlineStr"/>
      <c r="I171" s="139" t="n">
        <v>657.09</v>
      </c>
      <c r="J171" s="140" t="n">
        <v>657.09</v>
      </c>
      <c r="K171" s="86" t="inlineStr">
        <is>
          <t>PEN</t>
        </is>
      </c>
    </row>
    <row r="172">
      <c r="A172" s="84" t="n">
        <v>33031553</v>
      </c>
      <c r="B172" s="67" t="inlineStr">
        <is>
          <t>TPSU</t>
        </is>
      </c>
      <c r="C172" s="90" t="inlineStr">
        <is>
          <t>L004</t>
        </is>
      </c>
      <c r="D172" s="84" t="n">
        <v>1030403</v>
      </c>
      <c r="E172" s="141" t="inlineStr">
        <is>
          <t>CONTACTOR 185A AC3  BOBINA 220V-60HZ</t>
        </is>
      </c>
      <c r="F172" s="67" t="inlineStr">
        <is>
          <t>UN</t>
        </is>
      </c>
      <c r="G172" s="84" t="n">
        <v>1</v>
      </c>
      <c r="H172" s="57" t="inlineStr"/>
      <c r="I172" s="139" t="n">
        <v>2091.44</v>
      </c>
      <c r="J172" s="140" t="n">
        <v>2091.44</v>
      </c>
      <c r="K172" s="86" t="inlineStr">
        <is>
          <t>PEN</t>
        </is>
      </c>
    </row>
    <row r="173">
      <c r="A173" s="84" t="n">
        <v>33031559</v>
      </c>
      <c r="B173" s="67" t="inlineStr">
        <is>
          <t>TPSU</t>
        </is>
      </c>
      <c r="C173" s="90" t="inlineStr">
        <is>
          <t>L001</t>
        </is>
      </c>
      <c r="D173" s="84" t="n">
        <v>1030403</v>
      </c>
      <c r="E173" s="141" t="inlineStr">
        <is>
          <t>CONTACTOR 25A AC3  BOB 220V-60HZ D25M7</t>
        </is>
      </c>
      <c r="F173" s="67" t="inlineStr">
        <is>
          <t>UN</t>
        </is>
      </c>
      <c r="G173" s="84" t="n">
        <v>1</v>
      </c>
      <c r="H173" s="57" t="inlineStr"/>
      <c r="I173" s="139" t="n">
        <v>163.69</v>
      </c>
      <c r="J173" s="140" t="n">
        <v>163.69</v>
      </c>
      <c r="K173" s="86" t="inlineStr">
        <is>
          <t>PEN</t>
        </is>
      </c>
    </row>
    <row r="174">
      <c r="A174" s="84" t="n">
        <v>33036454</v>
      </c>
      <c r="B174" s="67" t="inlineStr">
        <is>
          <t>TPSU</t>
        </is>
      </c>
      <c r="C174" s="90" t="inlineStr">
        <is>
          <t>L004</t>
        </is>
      </c>
      <c r="D174" s="84" t="n">
        <v>1030403</v>
      </c>
      <c r="E174" s="141" t="inlineStr">
        <is>
          <t>RELE TERMICO CLASE 10 RANGO 2.5-4A</t>
        </is>
      </c>
      <c r="F174" s="67" t="inlineStr">
        <is>
          <t>UN</t>
        </is>
      </c>
      <c r="G174" s="84" t="n">
        <v>1</v>
      </c>
      <c r="H174" s="57" t="inlineStr"/>
      <c r="I174" s="139" t="n">
        <v>91.13</v>
      </c>
      <c r="J174" s="140" t="n">
        <v>91.13</v>
      </c>
      <c r="K174" s="86" t="inlineStr">
        <is>
          <t>PEN</t>
        </is>
      </c>
    </row>
    <row r="175">
      <c r="A175" s="84" t="n">
        <v>31008780</v>
      </c>
      <c r="B175" s="67" t="inlineStr">
        <is>
          <t>TPSU</t>
        </is>
      </c>
      <c r="C175" s="90" t="inlineStr">
        <is>
          <t>L001</t>
        </is>
      </c>
      <c r="D175" s="84" t="n">
        <v>1030404</v>
      </c>
      <c r="E175" s="80" t="inlineStr">
        <is>
          <t>BISAGRA 4" GALV.</t>
        </is>
      </c>
      <c r="F175" s="67" t="inlineStr">
        <is>
          <t>UN</t>
        </is>
      </c>
      <c r="G175" s="84" t="n">
        <v>6</v>
      </c>
      <c r="H175" s="57" t="inlineStr"/>
      <c r="I175" s="139" t="n">
        <v>36.78</v>
      </c>
      <c r="J175" s="140" t="n">
        <v>6.13</v>
      </c>
      <c r="K175" s="86" t="inlineStr">
        <is>
          <t>PEN</t>
        </is>
      </c>
    </row>
    <row r="176">
      <c r="A176" s="84" t="n">
        <v>33039390</v>
      </c>
      <c r="B176" s="67" t="inlineStr">
        <is>
          <t>TPSU</t>
        </is>
      </c>
      <c r="C176" s="90" t="inlineStr">
        <is>
          <t>L004</t>
        </is>
      </c>
      <c r="D176" s="84" t="n">
        <v>1030404</v>
      </c>
      <c r="E176" s="141" t="inlineStr">
        <is>
          <t>TRANSFORMADOR TENS MONO 440/220V10VA</t>
        </is>
      </c>
      <c r="F176" s="67" t="inlineStr">
        <is>
          <t>UN</t>
        </is>
      </c>
      <c r="G176" s="84" t="n">
        <v>1</v>
      </c>
      <c r="H176" s="57" t="inlineStr"/>
      <c r="I176" s="139" t="n">
        <v>58.2</v>
      </c>
      <c r="J176" s="140" t="n">
        <v>58.2</v>
      </c>
      <c r="K176" s="86" t="inlineStr">
        <is>
          <t>PEN</t>
        </is>
      </c>
    </row>
    <row r="177">
      <c r="A177" s="84" t="n">
        <v>33036223</v>
      </c>
      <c r="B177" s="67" t="inlineStr">
        <is>
          <t>TPSU</t>
        </is>
      </c>
      <c r="C177" s="90" t="inlineStr">
        <is>
          <t>L001</t>
        </is>
      </c>
      <c r="D177" s="84" t="n">
        <v>1030405</v>
      </c>
      <c r="E177" s="80" t="inlineStr">
        <is>
          <t>PULSADOR DOBLE 220V C/CAPUCHON SILICONA</t>
        </is>
      </c>
      <c r="F177" s="67" t="inlineStr">
        <is>
          <t>UN</t>
        </is>
      </c>
      <c r="G177" s="84" t="n">
        <v>3</v>
      </c>
      <c r="H177" s="57" t="inlineStr"/>
      <c r="I177" s="139" t="n">
        <v>471.75</v>
      </c>
      <c r="J177" s="140" t="n">
        <v>157.25</v>
      </c>
      <c r="K177" s="86" t="inlineStr">
        <is>
          <t>PEN</t>
        </is>
      </c>
    </row>
    <row r="178">
      <c r="A178" s="84" t="n">
        <v>31015431</v>
      </c>
      <c r="B178" s="67" t="inlineStr">
        <is>
          <t>TPSU</t>
        </is>
      </c>
      <c r="C178" s="90" t="inlineStr">
        <is>
          <t>L001</t>
        </is>
      </c>
      <c r="D178" s="84" t="n">
        <v>1030501</v>
      </c>
      <c r="E178" s="80" t="inlineStr">
        <is>
          <t>CINTA AUTOVULCANIZANTE 3/4"X30'X0.030"</t>
        </is>
      </c>
      <c r="F178" s="67" t="inlineStr">
        <is>
          <t>ROL</t>
        </is>
      </c>
      <c r="G178" s="84" t="n">
        <v>37</v>
      </c>
      <c r="H178" s="57" t="inlineStr"/>
      <c r="I178" s="139" t="n">
        <v>2149.18</v>
      </c>
      <c r="J178" s="140" t="n">
        <v>58.08594594594594</v>
      </c>
      <c r="K178" s="86" t="inlineStr">
        <is>
          <t>PEN</t>
        </is>
      </c>
    </row>
    <row r="179">
      <c r="A179" s="84" t="n">
        <v>32003971</v>
      </c>
      <c r="B179" s="67" t="inlineStr">
        <is>
          <t>TPSU</t>
        </is>
      </c>
      <c r="C179" s="90" t="inlineStr">
        <is>
          <t>L001</t>
        </is>
      </c>
      <c r="D179" s="84" t="n">
        <v>1030501</v>
      </c>
      <c r="E179" s="80" t="inlineStr">
        <is>
          <t>CINTA BRADY AMARILLA 3/4" M21-750-595-YL</t>
        </is>
      </c>
      <c r="F179" s="67" t="inlineStr">
        <is>
          <t>ROL</t>
        </is>
      </c>
      <c r="G179" s="84" t="n">
        <v>1</v>
      </c>
      <c r="H179" s="57" t="inlineStr"/>
      <c r="I179" s="139" t="n">
        <v>114.71</v>
      </c>
      <c r="J179" s="140" t="n">
        <v>114.71</v>
      </c>
      <c r="K179" s="86" t="inlineStr">
        <is>
          <t>PEN</t>
        </is>
      </c>
    </row>
    <row r="180">
      <c r="A180" s="84" t="n">
        <v>31009337</v>
      </c>
      <c r="B180" s="67" t="inlineStr">
        <is>
          <t>TPSU</t>
        </is>
      </c>
      <c r="C180" s="90" t="inlineStr">
        <is>
          <t>L001</t>
        </is>
      </c>
      <c r="D180" s="84" t="n">
        <v>1030501</v>
      </c>
      <c r="E180" s="80" t="inlineStr">
        <is>
          <t>CINTA CAMBRIC 2520 - 3M 3/4" X 18 MTS  C</t>
        </is>
      </c>
      <c r="F180" s="67" t="inlineStr">
        <is>
          <t>ROL</t>
        </is>
      </c>
      <c r="G180" s="84" t="n">
        <v>13</v>
      </c>
      <c r="H180" s="57" t="inlineStr"/>
      <c r="I180" s="139" t="n">
        <v>3925.09</v>
      </c>
      <c r="J180" s="140" t="n">
        <v>301.93</v>
      </c>
      <c r="K180" s="86" t="inlineStr">
        <is>
          <t>PEN</t>
        </is>
      </c>
    </row>
    <row r="181">
      <c r="A181" s="84" t="n">
        <v>31009330</v>
      </c>
      <c r="B181" s="67" t="inlineStr">
        <is>
          <t>TPSU</t>
        </is>
      </c>
      <c r="C181" s="90" t="inlineStr">
        <is>
          <t>L001</t>
        </is>
      </c>
      <c r="D181" s="84" t="n">
        <v>1030502</v>
      </c>
      <c r="E181" s="141" t="inlineStr">
        <is>
          <t>CINTA AISLANTE NEGRA DE 600V-33+ 3M</t>
        </is>
      </c>
      <c r="F181" s="67" t="inlineStr">
        <is>
          <t>ROL</t>
        </is>
      </c>
      <c r="G181" s="84" t="n">
        <v>4</v>
      </c>
      <c r="H181" s="57" t="inlineStr"/>
      <c r="I181" s="139" t="n">
        <v>97.76000000000001</v>
      </c>
      <c r="J181" s="140" t="n">
        <v>24.44</v>
      </c>
      <c r="K181" s="86" t="inlineStr">
        <is>
          <t>PEN</t>
        </is>
      </c>
    </row>
    <row r="182">
      <c r="A182" s="84" t="n">
        <v>31009332</v>
      </c>
      <c r="B182" s="67" t="inlineStr">
        <is>
          <t>TPSU</t>
        </is>
      </c>
      <c r="C182" s="90" t="inlineStr">
        <is>
          <t>L001</t>
        </is>
      </c>
      <c r="D182" s="84" t="n">
        <v>1030502</v>
      </c>
      <c r="E182" s="141" t="inlineStr">
        <is>
          <t>CINTA AISLANTE PVC 19MM X 20 MT X0.15MM</t>
        </is>
      </c>
      <c r="F182" s="67" t="inlineStr">
        <is>
          <t>ROL</t>
        </is>
      </c>
      <c r="G182" s="84" t="n">
        <v>4</v>
      </c>
      <c r="H182" s="57" t="inlineStr"/>
      <c r="I182" s="139" t="n">
        <v>15.7</v>
      </c>
      <c r="J182" s="140" t="n">
        <v>3.925</v>
      </c>
      <c r="K182" s="86" t="inlineStr">
        <is>
          <t>PEN</t>
        </is>
      </c>
    </row>
    <row r="183">
      <c r="A183" s="84" t="n">
        <v>31009333</v>
      </c>
      <c r="B183" s="67" t="inlineStr">
        <is>
          <t>TPSU</t>
        </is>
      </c>
      <c r="C183" s="90" t="inlineStr">
        <is>
          <t>L001</t>
        </is>
      </c>
      <c r="D183" s="84" t="n">
        <v>1030502</v>
      </c>
      <c r="E183" s="141" t="inlineStr">
        <is>
          <t>CINTA AISLANTE TEMFLEX 1700 3/4" X 18 MT</t>
        </is>
      </c>
      <c r="F183" s="67" t="inlineStr">
        <is>
          <t>ROL</t>
        </is>
      </c>
      <c r="G183" s="84" t="n">
        <v>50</v>
      </c>
      <c r="H183" s="57" t="inlineStr"/>
      <c r="I183" s="139" t="n">
        <v>291.08</v>
      </c>
      <c r="J183" s="140" t="n">
        <v>5.8216</v>
      </c>
      <c r="K183" s="86" t="inlineStr">
        <is>
          <t>PEN</t>
        </is>
      </c>
    </row>
    <row r="184">
      <c r="A184" s="84" t="n">
        <v>31009333</v>
      </c>
      <c r="B184" s="67" t="inlineStr">
        <is>
          <t>TPSU</t>
        </is>
      </c>
      <c r="C184" s="90" t="inlineStr">
        <is>
          <t>L001</t>
        </is>
      </c>
      <c r="D184" s="84" t="n">
        <v>1030502</v>
      </c>
      <c r="E184" s="80" t="inlineStr">
        <is>
          <t>CINTA AISLANTE TEMFLEX 1700 3/4" X 18 MT</t>
        </is>
      </c>
      <c r="F184" s="67" t="inlineStr">
        <is>
          <t>ROL</t>
        </is>
      </c>
      <c r="G184" s="84" t="n">
        <v>6</v>
      </c>
      <c r="H184" s="57" t="inlineStr"/>
      <c r="I184" s="139" t="n">
        <v>30.42</v>
      </c>
      <c r="J184" s="140" t="n">
        <v>5.07</v>
      </c>
      <c r="K184" s="86" t="inlineStr">
        <is>
          <t>PEN</t>
        </is>
      </c>
    </row>
    <row r="185">
      <c r="A185" s="84" t="n">
        <v>31009344</v>
      </c>
      <c r="B185" s="67" t="inlineStr">
        <is>
          <t>TPSU</t>
        </is>
      </c>
      <c r="C185" s="90" t="inlineStr">
        <is>
          <t>L001</t>
        </is>
      </c>
      <c r="D185" s="84" t="n">
        <v>1030503</v>
      </c>
      <c r="E185" s="80" t="inlineStr">
        <is>
          <t>CINTA TEFLON 1" ALTA DENSIDAD</t>
        </is>
      </c>
      <c r="F185" s="67" t="inlineStr">
        <is>
          <t>ROL</t>
        </is>
      </c>
      <c r="G185" s="84" t="n">
        <v>1</v>
      </c>
      <c r="H185" s="57" t="inlineStr"/>
      <c r="I185" s="139" t="n">
        <v>19.5</v>
      </c>
      <c r="J185" s="140" t="n">
        <v>19.5</v>
      </c>
      <c r="K185" s="86" t="inlineStr">
        <is>
          <t>PEN</t>
        </is>
      </c>
    </row>
    <row r="186">
      <c r="A186" s="84" t="n">
        <v>31015439</v>
      </c>
      <c r="B186" s="67" t="inlineStr">
        <is>
          <t>TPSU</t>
        </is>
      </c>
      <c r="C186" s="90" t="inlineStr">
        <is>
          <t>L001</t>
        </is>
      </c>
      <c r="D186" s="84" t="n">
        <v>1030503</v>
      </c>
      <c r="E186" s="80" t="inlineStr">
        <is>
          <t>CINTA TEFLON 1/2"</t>
        </is>
      </c>
      <c r="F186" s="67" t="inlineStr">
        <is>
          <t>ROL</t>
        </is>
      </c>
      <c r="G186" s="84" t="n">
        <v>36</v>
      </c>
      <c r="H186" s="57" t="inlineStr"/>
      <c r="I186" s="139" t="n">
        <v>24.82</v>
      </c>
      <c r="J186" s="140" t="n">
        <v>0.6894444444444444</v>
      </c>
      <c r="K186" s="86" t="inlineStr">
        <is>
          <t>PEN</t>
        </is>
      </c>
    </row>
    <row r="187">
      <c r="A187" s="84" t="n">
        <v>31015439</v>
      </c>
      <c r="B187" s="67" t="inlineStr">
        <is>
          <t>TPSU</t>
        </is>
      </c>
      <c r="C187" s="90" t="inlineStr">
        <is>
          <t>L001</t>
        </is>
      </c>
      <c r="D187" s="84" t="n">
        <v>1030503</v>
      </c>
      <c r="E187" s="80" t="inlineStr">
        <is>
          <t>CINTA TEFLON 1/2"</t>
        </is>
      </c>
      <c r="F187" s="67" t="inlineStr">
        <is>
          <t>ROL</t>
        </is>
      </c>
      <c r="G187" s="84" t="n">
        <v>3</v>
      </c>
      <c r="H187" s="57" t="inlineStr"/>
      <c r="I187" s="139" t="n">
        <v>2.06</v>
      </c>
      <c r="J187" s="140" t="n">
        <v>0.6866666666666666</v>
      </c>
      <c r="K187" s="86" t="inlineStr">
        <is>
          <t>PEN</t>
        </is>
      </c>
    </row>
    <row r="188">
      <c r="A188" s="84" t="n">
        <v>33035748</v>
      </c>
      <c r="B188" s="67" t="inlineStr">
        <is>
          <t>TPSU</t>
        </is>
      </c>
      <c r="C188" s="90" t="inlineStr">
        <is>
          <t>L001</t>
        </is>
      </c>
      <c r="D188" s="84" t="n">
        <v>1030504</v>
      </c>
      <c r="E188" s="80" t="inlineStr">
        <is>
          <t>PILA 9 V. T/BATERIA DURACELL</t>
        </is>
      </c>
      <c r="F188" s="67" t="inlineStr">
        <is>
          <t>UN</t>
        </is>
      </c>
      <c r="G188" s="84" t="n">
        <v>7</v>
      </c>
      <c r="H188" s="57" t="inlineStr"/>
      <c r="I188" s="139" t="n">
        <v>64.20999999999999</v>
      </c>
      <c r="J188" s="140" t="n">
        <v>9.172857142857142</v>
      </c>
      <c r="K188" s="86" t="inlineStr">
        <is>
          <t>PEN</t>
        </is>
      </c>
    </row>
    <row r="189">
      <c r="A189" s="84" t="n">
        <v>33035749</v>
      </c>
      <c r="B189" s="67" t="inlineStr">
        <is>
          <t>TPSU</t>
        </is>
      </c>
      <c r="C189" s="90" t="inlineStr">
        <is>
          <t>L001</t>
        </is>
      </c>
      <c r="D189" s="84" t="n">
        <v>1030504</v>
      </c>
      <c r="E189" s="80" t="inlineStr">
        <is>
          <t>PILA ALCALINA TIPO AA</t>
        </is>
      </c>
      <c r="F189" s="67" t="inlineStr">
        <is>
          <t>UN</t>
        </is>
      </c>
      <c r="G189" s="84" t="n">
        <v>27</v>
      </c>
      <c r="H189" s="57" t="inlineStr"/>
      <c r="I189" s="139" t="n">
        <v>48.15</v>
      </c>
      <c r="J189" s="140" t="n">
        <v>1.783333333333333</v>
      </c>
      <c r="K189" s="86" t="inlineStr">
        <is>
          <t>PEN</t>
        </is>
      </c>
    </row>
    <row r="190">
      <c r="A190" s="84" t="n">
        <v>33035750</v>
      </c>
      <c r="B190" s="67" t="inlineStr">
        <is>
          <t>TPSU</t>
        </is>
      </c>
      <c r="C190" s="90" t="inlineStr">
        <is>
          <t>L001</t>
        </is>
      </c>
      <c r="D190" s="84" t="n">
        <v>1030504</v>
      </c>
      <c r="E190" s="80" t="inlineStr">
        <is>
          <t>PILA ALCALINA TIPO AAA</t>
        </is>
      </c>
      <c r="F190" s="67" t="inlineStr">
        <is>
          <t>UN</t>
        </is>
      </c>
      <c r="G190" s="84" t="n">
        <v>55</v>
      </c>
      <c r="H190" s="57" t="inlineStr"/>
      <c r="I190" s="139" t="n">
        <v>97.34999999999999</v>
      </c>
      <c r="J190" s="140" t="n">
        <v>1.77</v>
      </c>
      <c r="K190" s="86" t="inlineStr">
        <is>
          <t>PEN</t>
        </is>
      </c>
    </row>
    <row r="191">
      <c r="A191" s="84" t="n">
        <v>33042277</v>
      </c>
      <c r="B191" s="67" t="inlineStr">
        <is>
          <t>TPSU</t>
        </is>
      </c>
      <c r="C191" s="90" t="inlineStr">
        <is>
          <t>L001</t>
        </is>
      </c>
      <c r="D191" s="84" t="n">
        <v>1030505</v>
      </c>
      <c r="E191" s="80" t="inlineStr">
        <is>
          <t>PILA GRANDE 1.5 V.</t>
        </is>
      </c>
      <c r="F191" s="67" t="inlineStr">
        <is>
          <t>UN</t>
        </is>
      </c>
      <c r="G191" s="84" t="n">
        <v>219</v>
      </c>
      <c r="H191" s="57" t="inlineStr"/>
      <c r="I191" s="139" t="n">
        <v>1099.09</v>
      </c>
      <c r="J191" s="140" t="n">
        <v>5.018675799086758</v>
      </c>
      <c r="K191" s="86" t="inlineStr">
        <is>
          <t>PEN</t>
        </is>
      </c>
    </row>
    <row r="192">
      <c r="A192" s="84" t="n">
        <v>33035099</v>
      </c>
      <c r="B192" s="82" t="inlineStr">
        <is>
          <t>TPSU</t>
        </is>
      </c>
      <c r="C192" s="82" t="inlineStr">
        <is>
          <t>L004</t>
        </is>
      </c>
      <c r="D192" s="84" t="n">
        <v>1030601</v>
      </c>
      <c r="E192" s="80" t="inlineStr">
        <is>
          <t>MICROSWITCH POS. P/ VALV. BRAY SPDT T210</t>
        </is>
      </c>
      <c r="F192" s="67" t="inlineStr">
        <is>
          <t>UN</t>
        </is>
      </c>
      <c r="G192" s="84" t="n">
        <v>2</v>
      </c>
      <c r="H192" s="57" t="inlineStr"/>
      <c r="I192" s="139" t="n">
        <v>622.65</v>
      </c>
      <c r="J192" s="140" t="n">
        <v>311.325</v>
      </c>
      <c r="K192" s="86" t="inlineStr">
        <is>
          <t>PEN</t>
        </is>
      </c>
    </row>
    <row r="193">
      <c r="A193" s="84" t="n">
        <v>33035100</v>
      </c>
      <c r="B193" s="67" t="inlineStr">
        <is>
          <t>TPSU</t>
        </is>
      </c>
      <c r="C193" s="90" t="inlineStr">
        <is>
          <t>L004</t>
        </is>
      </c>
      <c r="D193" s="84" t="n">
        <v>1030601</v>
      </c>
      <c r="E193" s="80" t="inlineStr">
        <is>
          <t>MICROSWITCH POS. P/ VALV. BRAY SPDT V3</t>
        </is>
      </c>
      <c r="F193" s="67" t="inlineStr">
        <is>
          <t>UN</t>
        </is>
      </c>
      <c r="G193" s="84" t="n">
        <v>1</v>
      </c>
      <c r="H193" s="57" t="inlineStr"/>
      <c r="I193" s="139" t="n">
        <v>292.14</v>
      </c>
      <c r="J193" s="140" t="n">
        <v>292.14</v>
      </c>
      <c r="K193" s="86" t="inlineStr">
        <is>
          <t>PEN</t>
        </is>
      </c>
    </row>
    <row r="194">
      <c r="A194" s="84" t="n">
        <v>33035158</v>
      </c>
      <c r="B194" s="67" t="inlineStr">
        <is>
          <t>TPSU</t>
        </is>
      </c>
      <c r="C194" s="90" t="inlineStr">
        <is>
          <t>L004</t>
        </is>
      </c>
      <c r="D194" s="84" t="n">
        <v>1030601</v>
      </c>
      <c r="E194" s="80" t="inlineStr">
        <is>
          <t>MODULO SEÑAL PLC S7-1200 SM1234 4AI-2A</t>
        </is>
      </c>
      <c r="F194" s="67" t="inlineStr">
        <is>
          <t>UN</t>
        </is>
      </c>
      <c r="G194" s="84" t="n">
        <v>1</v>
      </c>
      <c r="H194" s="57" t="inlineStr"/>
      <c r="I194" s="139" t="n">
        <v>1166.25</v>
      </c>
      <c r="J194" s="140" t="n">
        <v>1166.25</v>
      </c>
      <c r="K194" s="86" t="inlineStr">
        <is>
          <t>PEN</t>
        </is>
      </c>
    </row>
    <row r="195">
      <c r="A195" s="84" t="n">
        <v>33042304</v>
      </c>
      <c r="B195" s="67" t="inlineStr">
        <is>
          <t>TPSU</t>
        </is>
      </c>
      <c r="C195" s="90" t="inlineStr">
        <is>
          <t>L001</t>
        </is>
      </c>
      <c r="D195" s="84" t="n">
        <v>1030602</v>
      </c>
      <c r="E195" s="80" t="inlineStr">
        <is>
          <t>ABRAZADERA P/CANAL UNISTRUT 3/4"</t>
        </is>
      </c>
      <c r="F195" s="67" t="inlineStr">
        <is>
          <t>UN</t>
        </is>
      </c>
      <c r="G195" s="84" t="n">
        <v>19</v>
      </c>
      <c r="H195" s="57" t="inlineStr"/>
      <c r="I195" s="139" t="n">
        <v>21.84</v>
      </c>
      <c r="J195" s="140" t="n">
        <v>1.149473684210526</v>
      </c>
      <c r="K195" s="86" t="inlineStr">
        <is>
          <t>PEN</t>
        </is>
      </c>
    </row>
    <row r="196">
      <c r="A196" s="84" t="n">
        <v>31008115</v>
      </c>
      <c r="B196" s="67" t="inlineStr">
        <is>
          <t>TPSU</t>
        </is>
      </c>
      <c r="C196" s="90" t="inlineStr">
        <is>
          <t>L004</t>
        </is>
      </c>
      <c r="D196" s="84" t="n">
        <v>1030602</v>
      </c>
      <c r="E196" s="80" t="inlineStr">
        <is>
          <t>ABRAZADERA P/CANAL UNISTRUT FEG 1.1/2"</t>
        </is>
      </c>
      <c r="F196" s="67" t="inlineStr">
        <is>
          <t>UN</t>
        </is>
      </c>
      <c r="G196" s="84" t="n">
        <v>7</v>
      </c>
      <c r="H196" s="57" t="inlineStr"/>
      <c r="I196" s="139" t="n">
        <v>6.04</v>
      </c>
      <c r="J196" s="140" t="n">
        <v>0.8628571428571429</v>
      </c>
      <c r="K196" s="86" t="inlineStr">
        <is>
          <t>PEN</t>
        </is>
      </c>
    </row>
    <row r="197">
      <c r="A197" s="84" t="n">
        <v>31008114</v>
      </c>
      <c r="B197" s="67" t="inlineStr">
        <is>
          <t>TPSU</t>
        </is>
      </c>
      <c r="C197" s="90" t="inlineStr">
        <is>
          <t>L004</t>
        </is>
      </c>
      <c r="D197" s="84" t="n">
        <v>1030602</v>
      </c>
      <c r="E197" s="80" t="inlineStr">
        <is>
          <t>ABRAZADERA P/CANAL UNISTRUT FEG 1"</t>
        </is>
      </c>
      <c r="F197" s="67" t="inlineStr">
        <is>
          <t>UN</t>
        </is>
      </c>
      <c r="G197" s="84" t="n">
        <v>3</v>
      </c>
      <c r="H197" s="57" t="inlineStr"/>
      <c r="I197" s="139" t="n">
        <v>3.72</v>
      </c>
      <c r="J197" s="140" t="n">
        <v>1.24</v>
      </c>
      <c r="K197" s="86" t="inlineStr">
        <is>
          <t>PEN</t>
        </is>
      </c>
    </row>
    <row r="198">
      <c r="A198" s="84" t="n">
        <v>31008126</v>
      </c>
      <c r="B198" s="67" t="inlineStr">
        <is>
          <t>TPSU</t>
        </is>
      </c>
      <c r="C198" s="90" t="inlineStr">
        <is>
          <t>L001</t>
        </is>
      </c>
      <c r="D198" s="84" t="n">
        <v>1030602</v>
      </c>
      <c r="E198" s="80" t="inlineStr">
        <is>
          <t>ABRAZADERA P/CANAL UNISTRUT INOX 3/4"</t>
        </is>
      </c>
      <c r="F198" s="67" t="inlineStr">
        <is>
          <t>UN</t>
        </is>
      </c>
      <c r="G198" s="84" t="n">
        <v>4</v>
      </c>
      <c r="H198" s="57" t="inlineStr">
        <is>
          <t>NUEVO</t>
        </is>
      </c>
      <c r="I198" s="139" t="n">
        <v>36</v>
      </c>
      <c r="J198" s="140" t="n">
        <v>9</v>
      </c>
      <c r="K198" s="86" t="inlineStr">
        <is>
          <t>PEN</t>
        </is>
      </c>
    </row>
    <row r="199">
      <c r="A199" s="84" t="n">
        <v>31015694</v>
      </c>
      <c r="B199" s="67" t="inlineStr">
        <is>
          <t>TPSU</t>
        </is>
      </c>
      <c r="C199" s="90" t="inlineStr">
        <is>
          <t>L001</t>
        </is>
      </c>
      <c r="D199" s="84" t="n">
        <v>1030603</v>
      </c>
      <c r="E199" s="80" t="inlineStr">
        <is>
          <t>ABRAZADERA RIEL.UNISTR 1.1/2'' AC. INOX.</t>
        </is>
      </c>
      <c r="F199" s="67" t="inlineStr">
        <is>
          <t>UN</t>
        </is>
      </c>
      <c r="G199" s="84" t="n">
        <v>26</v>
      </c>
      <c r="H199" s="57" t="inlineStr"/>
      <c r="I199" s="139" t="n">
        <v>357.5</v>
      </c>
      <c r="J199" s="140" t="n">
        <v>13.75</v>
      </c>
      <c r="K199" s="86" t="inlineStr">
        <is>
          <t>PEN</t>
        </is>
      </c>
    </row>
    <row r="200">
      <c r="A200" s="84" t="n">
        <v>33031324</v>
      </c>
      <c r="B200" s="67" t="inlineStr">
        <is>
          <t>TPSU</t>
        </is>
      </c>
      <c r="C200" s="90" t="inlineStr">
        <is>
          <t>L001</t>
        </is>
      </c>
      <c r="D200" s="84" t="n">
        <v>1030603</v>
      </c>
      <c r="E200" s="80" t="inlineStr">
        <is>
          <t>CONECTOR CONDUIT 1" RECTO HERMETICO</t>
        </is>
      </c>
      <c r="F200" s="67" t="inlineStr">
        <is>
          <t>UN</t>
        </is>
      </c>
      <c r="G200" s="84" t="n">
        <v>14</v>
      </c>
      <c r="H200" s="57" t="inlineStr"/>
      <c r="I200" s="139" t="n">
        <v>47.44</v>
      </c>
      <c r="J200" s="140" t="n">
        <v>3.388571428571428</v>
      </c>
      <c r="K200" s="86" t="inlineStr">
        <is>
          <t>PEN</t>
        </is>
      </c>
    </row>
    <row r="201">
      <c r="A201" s="84" t="n">
        <v>33031324</v>
      </c>
      <c r="B201" s="67" t="inlineStr">
        <is>
          <t>TPSU</t>
        </is>
      </c>
      <c r="C201" s="90" t="inlineStr">
        <is>
          <t>L004</t>
        </is>
      </c>
      <c r="D201" s="84" t="n">
        <v>1030603</v>
      </c>
      <c r="E201" s="80" t="inlineStr">
        <is>
          <t>CONECTOR CONDUIT 1" RECTO HERMETICO</t>
        </is>
      </c>
      <c r="F201" s="67" t="inlineStr">
        <is>
          <t>UN</t>
        </is>
      </c>
      <c r="G201" s="84" t="n">
        <v>1</v>
      </c>
      <c r="H201" s="57" t="inlineStr"/>
      <c r="I201" s="139" t="n">
        <v>3.39</v>
      </c>
      <c r="J201" s="140" t="n">
        <v>3.39</v>
      </c>
      <c r="K201" s="86" t="inlineStr">
        <is>
          <t>PEN</t>
        </is>
      </c>
    </row>
    <row r="202">
      <c r="A202" s="84" t="n">
        <v>33031333</v>
      </c>
      <c r="B202" s="67" t="inlineStr">
        <is>
          <t>TPSU</t>
        </is>
      </c>
      <c r="C202" s="90" t="inlineStr">
        <is>
          <t>L001</t>
        </is>
      </c>
      <c r="D202" s="84" t="n">
        <v>1030603</v>
      </c>
      <c r="E202" s="80" t="inlineStr">
        <is>
          <t>CONECTOR CONDUIT 1/2" RECTO</t>
        </is>
      </c>
      <c r="F202" s="67" t="inlineStr">
        <is>
          <t>UN</t>
        </is>
      </c>
      <c r="G202" s="84" t="n">
        <v>6</v>
      </c>
      <c r="H202" s="57" t="inlineStr"/>
      <c r="I202" s="139" t="n">
        <v>13.88</v>
      </c>
      <c r="J202" s="140" t="n">
        <v>2.313333333333333</v>
      </c>
      <c r="K202" s="86" t="inlineStr">
        <is>
          <t>PEN</t>
        </is>
      </c>
    </row>
    <row r="203">
      <c r="A203" s="84" t="n">
        <v>33031345</v>
      </c>
      <c r="B203" s="67" t="inlineStr">
        <is>
          <t>TPSU</t>
        </is>
      </c>
      <c r="C203" s="90" t="inlineStr">
        <is>
          <t>L001</t>
        </is>
      </c>
      <c r="D203" s="84" t="n">
        <v>1030603</v>
      </c>
      <c r="E203" s="80" t="inlineStr">
        <is>
          <t>CONECTOR CONDUIT 3/4" RECTO HERMETICO</t>
        </is>
      </c>
      <c r="F203" s="67" t="inlineStr">
        <is>
          <t>UN</t>
        </is>
      </c>
      <c r="G203" s="84" t="n">
        <v>7</v>
      </c>
      <c r="H203" s="57" t="inlineStr"/>
      <c r="I203" s="139" t="n">
        <v>22.62</v>
      </c>
      <c r="J203" s="140" t="n">
        <v>3.231428571428572</v>
      </c>
      <c r="K203" s="86" t="inlineStr">
        <is>
          <t>PEN</t>
        </is>
      </c>
    </row>
    <row r="204">
      <c r="A204" s="84" t="n">
        <v>33030808</v>
      </c>
      <c r="B204" s="67" t="inlineStr">
        <is>
          <t>TPSU</t>
        </is>
      </c>
      <c r="C204" s="90" t="inlineStr">
        <is>
          <t>L001</t>
        </is>
      </c>
      <c r="D204" s="84" t="n">
        <v>1030604</v>
      </c>
      <c r="E204" s="80" t="inlineStr">
        <is>
          <t>CAJA CONDULET LB 3/4"</t>
        </is>
      </c>
      <c r="F204" s="67" t="inlineStr">
        <is>
          <t>UN</t>
        </is>
      </c>
      <c r="G204" s="84" t="n">
        <v>4</v>
      </c>
      <c r="H204" s="57" t="inlineStr"/>
      <c r="I204" s="139" t="n">
        <v>36.92</v>
      </c>
      <c r="J204" s="140" t="n">
        <v>9.23</v>
      </c>
      <c r="K204" s="86" t="inlineStr">
        <is>
          <t>PEN</t>
        </is>
      </c>
    </row>
    <row r="205">
      <c r="A205" s="84" t="n">
        <v>33041690</v>
      </c>
      <c r="B205" s="67" t="inlineStr">
        <is>
          <t>TPSU</t>
        </is>
      </c>
      <c r="C205" s="90" t="inlineStr">
        <is>
          <t>L001</t>
        </is>
      </c>
      <c r="D205" s="84" t="n">
        <v>1030604</v>
      </c>
      <c r="E205" s="80" t="inlineStr">
        <is>
          <t>TERMINAL A COMPRESION 16AWG</t>
        </is>
      </c>
      <c r="F205" s="67" t="inlineStr">
        <is>
          <t>UN</t>
        </is>
      </c>
      <c r="G205" s="84" t="n">
        <v>3</v>
      </c>
      <c r="H205" s="57" t="inlineStr"/>
      <c r="I205" s="139" t="n">
        <v>0.26</v>
      </c>
      <c r="J205" s="140" t="n">
        <v>0.08666666666666667</v>
      </c>
      <c r="K205" s="86" t="inlineStr">
        <is>
          <t>PEN</t>
        </is>
      </c>
    </row>
    <row r="206">
      <c r="A206" s="84" t="n">
        <v>33039108</v>
      </c>
      <c r="B206" s="67" t="inlineStr">
        <is>
          <t>TPSU</t>
        </is>
      </c>
      <c r="C206" s="90" t="inlineStr">
        <is>
          <t>L001</t>
        </is>
      </c>
      <c r="D206" s="84" t="n">
        <v>1030604</v>
      </c>
      <c r="E206" s="80" t="inlineStr">
        <is>
          <t>TERMINAL AISLADO T/OJAL 3/16 10-12 AWG</t>
        </is>
      </c>
      <c r="F206" s="67" t="inlineStr">
        <is>
          <t>UN</t>
        </is>
      </c>
      <c r="G206" s="84" t="n">
        <v>78</v>
      </c>
      <c r="H206" s="57" t="inlineStr"/>
      <c r="I206" s="139" t="n">
        <v>17.74</v>
      </c>
      <c r="J206" s="140" t="n">
        <v>0.2274358974358974</v>
      </c>
      <c r="K206" s="86" t="inlineStr">
        <is>
          <t>PEN</t>
        </is>
      </c>
    </row>
    <row r="207">
      <c r="A207" s="84" t="n">
        <v>33042326</v>
      </c>
      <c r="B207" s="67" t="inlineStr">
        <is>
          <t>TPSU</t>
        </is>
      </c>
      <c r="C207" s="90" t="inlineStr">
        <is>
          <t>L001</t>
        </is>
      </c>
      <c r="D207" s="84" t="n">
        <v>1030605</v>
      </c>
      <c r="E207" s="80" t="inlineStr">
        <is>
          <t>TUBO 3/4" CONDUIT FLEXIBLE  C/FORRO PVC</t>
        </is>
      </c>
      <c r="F207" s="67" t="inlineStr">
        <is>
          <t>M</t>
        </is>
      </c>
      <c r="G207" s="84" t="n">
        <v>11</v>
      </c>
      <c r="H207" s="57" t="inlineStr"/>
      <c r="I207" s="139" t="n">
        <v>53.27</v>
      </c>
      <c r="J207" s="140" t="n">
        <v>4.842727272727273</v>
      </c>
      <c r="K207" s="86" t="inlineStr">
        <is>
          <t>PEN</t>
        </is>
      </c>
    </row>
    <row r="208">
      <c r="A208" s="84" t="n">
        <v>33042462</v>
      </c>
      <c r="B208" s="67" t="inlineStr">
        <is>
          <t>TPSU</t>
        </is>
      </c>
      <c r="C208" s="90" t="inlineStr">
        <is>
          <t>L001</t>
        </is>
      </c>
      <c r="D208" s="84" t="n">
        <v>1030701</v>
      </c>
      <c r="E208" s="80" t="inlineStr">
        <is>
          <t>AUXILIAR ARRANQUE</t>
        </is>
      </c>
      <c r="F208" s="67" t="inlineStr">
        <is>
          <t>FCO</t>
        </is>
      </c>
      <c r="G208" s="84" t="n">
        <v>6</v>
      </c>
      <c r="H208" s="57" t="inlineStr">
        <is>
          <t>XI4237</t>
        </is>
      </c>
      <c r="I208" s="139" t="n">
        <v>84.2</v>
      </c>
      <c r="J208" s="140" t="n">
        <v>14.03333333333333</v>
      </c>
      <c r="K208" s="86" t="inlineStr">
        <is>
          <t>PEN</t>
        </is>
      </c>
    </row>
    <row r="209">
      <c r="A209" s="84" t="n">
        <v>31011265</v>
      </c>
      <c r="B209" s="67" t="inlineStr">
        <is>
          <t>TPSU</t>
        </is>
      </c>
      <c r="C209" s="90" t="inlineStr">
        <is>
          <t>L001</t>
        </is>
      </c>
      <c r="D209" s="84" t="n">
        <v>1030701</v>
      </c>
      <c r="E209" s="80" t="inlineStr">
        <is>
          <t>LIMPIACONTACTOS ELECTRICOS/ELECTRONICOS</t>
        </is>
      </c>
      <c r="F209" s="67" t="inlineStr">
        <is>
          <t>UN</t>
        </is>
      </c>
      <c r="G209" s="84" t="n">
        <v>13</v>
      </c>
      <c r="H209" s="57" t="inlineStr">
        <is>
          <t>1511922056</t>
        </is>
      </c>
      <c r="I209" s="139" t="n">
        <v>250.16</v>
      </c>
      <c r="J209" s="140" t="n">
        <v>19.24307692307692</v>
      </c>
      <c r="K209" s="86" t="inlineStr">
        <is>
          <t>PEN</t>
        </is>
      </c>
    </row>
    <row r="210">
      <c r="A210" s="84" t="n">
        <v>30000539</v>
      </c>
      <c r="B210" s="67" t="inlineStr">
        <is>
          <t>TPSU</t>
        </is>
      </c>
      <c r="C210" s="90" t="inlineStr">
        <is>
          <t>L001</t>
        </is>
      </c>
      <c r="D210" s="84" t="n">
        <v>1030702</v>
      </c>
      <c r="E210" s="80" t="inlineStr">
        <is>
          <t>PASTA DETECTORA DE AGUA</t>
        </is>
      </c>
      <c r="F210" s="67" t="inlineStr">
        <is>
          <t>UN</t>
        </is>
      </c>
      <c r="G210" s="84" t="n">
        <v>2</v>
      </c>
      <c r="H210" s="57" t="inlineStr">
        <is>
          <t>NP0302</t>
        </is>
      </c>
      <c r="I210" s="139" t="n">
        <v>131.4</v>
      </c>
      <c r="J210" s="140" t="n">
        <v>65.7</v>
      </c>
      <c r="K210" s="86" t="inlineStr">
        <is>
          <t>PEN</t>
        </is>
      </c>
    </row>
    <row r="211">
      <c r="A211" s="84" t="n">
        <v>31015444</v>
      </c>
      <c r="B211" s="67" t="inlineStr">
        <is>
          <t>TPSU</t>
        </is>
      </c>
      <c r="C211" s="90" t="inlineStr">
        <is>
          <t>L001</t>
        </is>
      </c>
      <c r="D211" s="84" t="n">
        <v>1030702</v>
      </c>
      <c r="E211" s="80" t="inlineStr">
        <is>
          <t>SILICONA ROJA</t>
        </is>
      </c>
      <c r="F211" s="67" t="inlineStr">
        <is>
          <t>UN</t>
        </is>
      </c>
      <c r="G211" s="84" t="n">
        <v>2</v>
      </c>
      <c r="H211" s="57" t="inlineStr">
        <is>
          <t>009802</t>
        </is>
      </c>
      <c r="I211" s="139" t="n">
        <v>27.67</v>
      </c>
      <c r="J211" s="140" t="n">
        <v>13.835</v>
      </c>
      <c r="K211" s="86" t="inlineStr">
        <is>
          <t>PEN</t>
        </is>
      </c>
    </row>
    <row r="212">
      <c r="A212" s="84" t="n">
        <v>31015444</v>
      </c>
      <c r="B212" s="67" t="inlineStr">
        <is>
          <t>TPSU</t>
        </is>
      </c>
      <c r="C212" s="90" t="inlineStr">
        <is>
          <t>L001</t>
        </is>
      </c>
      <c r="D212" s="84" t="n">
        <v>1030702</v>
      </c>
      <c r="E212" s="80" t="inlineStr">
        <is>
          <t>SILICONA ROJA</t>
        </is>
      </c>
      <c r="F212" s="67" t="inlineStr">
        <is>
          <t>UN</t>
        </is>
      </c>
      <c r="G212" s="84" t="n">
        <v>27</v>
      </c>
      <c r="H212" s="57" t="inlineStr">
        <is>
          <t>009902</t>
        </is>
      </c>
      <c r="I212" s="139" t="n">
        <v>373.5</v>
      </c>
      <c r="J212" s="140" t="n">
        <v>13.83333333333333</v>
      </c>
      <c r="K212" s="86" t="inlineStr">
        <is>
          <t>PEN</t>
        </is>
      </c>
    </row>
    <row r="213">
      <c r="A213" s="84" t="n">
        <v>31013843</v>
      </c>
      <c r="B213" s="67" t="inlineStr">
        <is>
          <t>TPSU</t>
        </is>
      </c>
      <c r="C213" s="90" t="inlineStr">
        <is>
          <t>L001</t>
        </is>
      </c>
      <c r="D213" s="84" t="n">
        <v>1030703</v>
      </c>
      <c r="E213" s="80" t="inlineStr">
        <is>
          <t>SILICONA TRANSPARENTE T/CARTUCHO</t>
        </is>
      </c>
      <c r="F213" s="67" t="inlineStr">
        <is>
          <t>UN</t>
        </is>
      </c>
      <c r="G213" s="84" t="n">
        <v>38</v>
      </c>
      <c r="H213" s="57" t="inlineStr">
        <is>
          <t>L0172213</t>
        </is>
      </c>
      <c r="I213" s="139" t="n">
        <v>968.73</v>
      </c>
      <c r="J213" s="140" t="n">
        <v>25.49289473684211</v>
      </c>
      <c r="K213" s="86" t="inlineStr">
        <is>
          <t>PEN</t>
        </is>
      </c>
    </row>
    <row r="214">
      <c r="A214" s="84" t="n">
        <v>33030454</v>
      </c>
      <c r="B214" s="67" t="inlineStr">
        <is>
          <t>TPSU</t>
        </is>
      </c>
      <c r="C214" s="90" t="inlineStr">
        <is>
          <t>L001</t>
        </is>
      </c>
      <c r="D214" s="84" t="n">
        <v>1030704</v>
      </c>
      <c r="E214" s="80" t="inlineStr">
        <is>
          <t>BORNE P/BATERIA BCE.</t>
        </is>
      </c>
      <c r="F214" s="67" t="inlineStr">
        <is>
          <t>UN</t>
        </is>
      </c>
      <c r="G214" s="84" t="n">
        <v>19</v>
      </c>
      <c r="H214" s="57" t="inlineStr"/>
      <c r="I214" s="139" t="n">
        <v>39.33</v>
      </c>
      <c r="J214" s="140" t="n">
        <v>2.07</v>
      </c>
      <c r="K214" s="86" t="inlineStr">
        <is>
          <t>PEN</t>
        </is>
      </c>
    </row>
    <row r="215">
      <c r="A215" s="84" t="n">
        <v>33035235</v>
      </c>
      <c r="B215" s="67" t="inlineStr">
        <is>
          <t>TPSU</t>
        </is>
      </c>
      <c r="C215" s="90" t="inlineStr">
        <is>
          <t>L001</t>
        </is>
      </c>
      <c r="D215" s="84" t="n">
        <v>1030704</v>
      </c>
      <c r="E215" s="80" t="inlineStr">
        <is>
          <t>NANOSTATION NSM5 5.5 GHZ 16 DBIC</t>
        </is>
      </c>
      <c r="F215" s="67" t="inlineStr">
        <is>
          <t>UN</t>
        </is>
      </c>
      <c r="G215" s="84" t="n">
        <v>4</v>
      </c>
      <c r="H215" s="57" t="inlineStr"/>
      <c r="I215" s="139" t="n">
        <v>1865.5</v>
      </c>
      <c r="J215" s="140" t="n">
        <v>466.375</v>
      </c>
      <c r="K215" s="86" t="inlineStr">
        <is>
          <t>PEN</t>
        </is>
      </c>
    </row>
    <row r="216">
      <c r="A216" s="84" t="n">
        <v>33030614</v>
      </c>
      <c r="B216" s="67" t="inlineStr">
        <is>
          <t>TPSU</t>
        </is>
      </c>
      <c r="C216" s="90" t="inlineStr">
        <is>
          <t>L001</t>
        </is>
      </c>
      <c r="D216" s="84" t="n">
        <v>1030705</v>
      </c>
      <c r="E216" s="80" t="inlineStr">
        <is>
          <t>CABLE AUTOMOTRIZ GPT 16AWG</t>
        </is>
      </c>
      <c r="F216" s="67" t="inlineStr">
        <is>
          <t>M</t>
        </is>
      </c>
      <c r="G216" s="84" t="n">
        <v>150</v>
      </c>
      <c r="H216" s="57" t="inlineStr"/>
      <c r="I216" s="139" t="n">
        <v>159</v>
      </c>
      <c r="J216" s="140" t="n">
        <v>1.06</v>
      </c>
      <c r="K216" s="86" t="inlineStr">
        <is>
          <t>PEN</t>
        </is>
      </c>
    </row>
    <row r="217">
      <c r="A217" s="84" t="n">
        <v>33042325</v>
      </c>
      <c r="B217" s="67" t="inlineStr">
        <is>
          <t>TPSU</t>
        </is>
      </c>
      <c r="C217" s="90" t="inlineStr">
        <is>
          <t>L001</t>
        </is>
      </c>
      <c r="D217" s="84" t="n">
        <v>1030705</v>
      </c>
      <c r="E217" s="80" t="inlineStr">
        <is>
          <t>TUBO 1/2" CONDUIT FLEXIBLE C/FORRO PVC</t>
        </is>
      </c>
      <c r="F217" s="67" t="inlineStr">
        <is>
          <t>M</t>
        </is>
      </c>
      <c r="G217" s="84" t="n">
        <v>20</v>
      </c>
      <c r="H217" s="57" t="inlineStr"/>
      <c r="I217" s="139" t="n">
        <v>124</v>
      </c>
      <c r="J217" s="140" t="n">
        <v>6.2</v>
      </c>
      <c r="K217" s="86" t="inlineStr">
        <is>
          <t>PEN</t>
        </is>
      </c>
    </row>
    <row r="218">
      <c r="A218" s="84" t="n">
        <v>33046706</v>
      </c>
      <c r="B218" s="67" t="inlineStr">
        <is>
          <t>TPSU</t>
        </is>
      </c>
      <c r="C218" s="90" t="inlineStr">
        <is>
          <t>L001</t>
        </is>
      </c>
      <c r="D218" s="84" t="n">
        <v>1030801</v>
      </c>
      <c r="E218" s="80" t="inlineStr">
        <is>
          <t>BALIZA CAMINERA SOLAR</t>
        </is>
      </c>
      <c r="F218" s="67" t="inlineStr">
        <is>
          <t>UN</t>
        </is>
      </c>
      <c r="G218" s="84" t="n">
        <v>2</v>
      </c>
      <c r="H218" s="57" t="inlineStr"/>
      <c r="I218" s="139" t="n">
        <v>130.19</v>
      </c>
      <c r="J218" s="140" t="n">
        <v>65.095</v>
      </c>
      <c r="K218" s="86" t="inlineStr">
        <is>
          <t>PEN</t>
        </is>
      </c>
    </row>
    <row r="219">
      <c r="A219" s="84" t="n">
        <v>32005110</v>
      </c>
      <c r="B219" s="67" t="inlineStr">
        <is>
          <t>TPSU</t>
        </is>
      </c>
      <c r="C219" s="90" t="inlineStr">
        <is>
          <t>L001</t>
        </is>
      </c>
      <c r="D219" s="84" t="n">
        <v>1030801</v>
      </c>
      <c r="E219" s="80" t="inlineStr">
        <is>
          <t>SEÑAL FLOTANTE DE HUMO NARANJA 3 MINUTOS</t>
        </is>
      </c>
      <c r="F219" s="67" t="inlineStr">
        <is>
          <t>UN</t>
        </is>
      </c>
      <c r="G219" s="84" t="n">
        <v>4</v>
      </c>
      <c r="H219" s="57" t="inlineStr">
        <is>
          <t>B220504</t>
        </is>
      </c>
      <c r="I219" s="139" t="n">
        <v>639.58</v>
      </c>
      <c r="J219" s="140" t="n">
        <v>159.895</v>
      </c>
      <c r="K219" s="86" t="inlineStr">
        <is>
          <t>PEN</t>
        </is>
      </c>
    </row>
    <row r="220">
      <c r="A220" s="84" t="n">
        <v>32004423</v>
      </c>
      <c r="B220" s="67" t="inlineStr">
        <is>
          <t>TPSU</t>
        </is>
      </c>
      <c r="C220" s="90" t="inlineStr">
        <is>
          <t>L001</t>
        </is>
      </c>
      <c r="D220" s="84" t="n">
        <v>1030802</v>
      </c>
      <c r="E220" s="80" t="inlineStr">
        <is>
          <t>GUINDOLA LUMINOSA P/ ARO SALVAVIDA</t>
        </is>
      </c>
      <c r="F220" s="67" t="inlineStr">
        <is>
          <t>UN</t>
        </is>
      </c>
      <c r="G220" s="84" t="n">
        <v>3</v>
      </c>
      <c r="H220" s="57" t="inlineStr"/>
      <c r="I220" s="139" t="n">
        <v>333.06</v>
      </c>
      <c r="J220" s="140" t="n">
        <v>111.02</v>
      </c>
      <c r="K220" s="86" t="inlineStr">
        <is>
          <t>PEN</t>
        </is>
      </c>
    </row>
    <row r="221">
      <c r="A221" s="84" t="n">
        <v>31013595</v>
      </c>
      <c r="B221" s="67" t="inlineStr">
        <is>
          <t>TPSU</t>
        </is>
      </c>
      <c r="C221" s="90" t="inlineStr">
        <is>
          <t>L004</t>
        </is>
      </c>
      <c r="D221" s="84" t="n">
        <v>1030802</v>
      </c>
      <c r="E221" s="80" t="inlineStr">
        <is>
          <t>RECUBRIMIENTO BELT DRESSING SPRAY 800.73</t>
        </is>
      </c>
      <c r="F221" s="67" t="inlineStr">
        <is>
          <t>FCO</t>
        </is>
      </c>
      <c r="G221" s="84" t="n">
        <v>5</v>
      </c>
      <c r="H221" s="57" t="inlineStr"/>
      <c r="I221" s="139" t="n">
        <v>187.75</v>
      </c>
      <c r="J221" s="140" t="n">
        <v>37.55</v>
      </c>
      <c r="K221" s="86" t="inlineStr">
        <is>
          <t>PEN</t>
        </is>
      </c>
    </row>
    <row r="222">
      <c r="A222" s="84" t="n">
        <v>31009779</v>
      </c>
      <c r="B222" s="67" t="inlineStr">
        <is>
          <t>TPSU</t>
        </is>
      </c>
      <c r="C222" s="90" t="inlineStr">
        <is>
          <t>L001</t>
        </is>
      </c>
      <c r="D222" s="84" t="n">
        <v>1030803</v>
      </c>
      <c r="E222" s="80" t="inlineStr">
        <is>
          <t>DESENGRASANTE  ELECTRICO / ELECTRONICO</t>
        </is>
      </c>
      <c r="F222" s="67" t="inlineStr">
        <is>
          <t>UN</t>
        </is>
      </c>
      <c r="G222" s="84" t="n">
        <v>2</v>
      </c>
      <c r="H222" s="57" t="inlineStr">
        <is>
          <t>03305</t>
        </is>
      </c>
      <c r="I222" s="139" t="n">
        <v>366.3</v>
      </c>
      <c r="J222" s="140" t="n">
        <v>183.15</v>
      </c>
      <c r="K222" s="86" t="inlineStr">
        <is>
          <t>PEN</t>
        </is>
      </c>
    </row>
    <row r="223">
      <c r="A223" s="84" t="n">
        <v>30000506</v>
      </c>
      <c r="B223" s="67" t="inlineStr">
        <is>
          <t>TPSU</t>
        </is>
      </c>
      <c r="C223" s="90" t="inlineStr">
        <is>
          <t>L001</t>
        </is>
      </c>
      <c r="D223" s="84" t="n">
        <v>1030803</v>
      </c>
      <c r="E223" s="80" t="inlineStr">
        <is>
          <t>LUBRICANTE MULTIUSO WD40</t>
        </is>
      </c>
      <c r="F223" s="67" t="inlineStr">
        <is>
          <t>UN</t>
        </is>
      </c>
      <c r="G223" s="84" t="n">
        <v>15</v>
      </c>
      <c r="H223" s="57" t="inlineStr">
        <is>
          <t>22202G</t>
        </is>
      </c>
      <c r="I223" s="139" t="n">
        <v>384.85</v>
      </c>
      <c r="J223" s="140" t="n">
        <v>25.65666666666667</v>
      </c>
      <c r="K223" s="86" t="inlineStr">
        <is>
          <t>PEN</t>
        </is>
      </c>
    </row>
    <row r="224">
      <c r="A224" s="84" t="n">
        <v>31013594</v>
      </c>
      <c r="B224" s="67" t="inlineStr">
        <is>
          <t>TPSU</t>
        </is>
      </c>
      <c r="C224" s="90" t="inlineStr">
        <is>
          <t>L001</t>
        </is>
      </c>
      <c r="D224" s="84" t="n">
        <v>1030803</v>
      </c>
      <c r="E224" s="80" t="inlineStr">
        <is>
          <t>RECUBRIMIENTO ACRILICO AMBERSIL AEROSOL</t>
        </is>
      </c>
      <c r="F224" s="67" t="inlineStr">
        <is>
          <t>UN</t>
        </is>
      </c>
      <c r="G224" s="84" t="n">
        <v>3</v>
      </c>
      <c r="H224" s="57" t="inlineStr">
        <is>
          <t>30235-AA</t>
        </is>
      </c>
      <c r="I224" s="139" t="n">
        <v>250.41</v>
      </c>
      <c r="J224" s="140" t="n">
        <v>83.47</v>
      </c>
      <c r="K224" s="86" t="inlineStr">
        <is>
          <t>PEN</t>
        </is>
      </c>
    </row>
    <row r="225">
      <c r="A225" s="84" t="n">
        <v>31011357</v>
      </c>
      <c r="B225" s="67" t="inlineStr">
        <is>
          <t>TPSU</t>
        </is>
      </c>
      <c r="C225" s="90" t="inlineStr">
        <is>
          <t>L001</t>
        </is>
      </c>
      <c r="D225" s="84" t="n">
        <v>1030804</v>
      </c>
      <c r="E225" s="80" t="inlineStr">
        <is>
          <t>LOCTITE P/O'RINGS LOC-495.5</t>
        </is>
      </c>
      <c r="F225" s="67" t="inlineStr">
        <is>
          <t>UN</t>
        </is>
      </c>
      <c r="G225" s="84" t="n">
        <v>1</v>
      </c>
      <c r="H225" s="57" t="inlineStr">
        <is>
          <t>L32CAA4923</t>
        </is>
      </c>
      <c r="I225" s="139" t="n">
        <v>77.83</v>
      </c>
      <c r="J225" s="140" t="n">
        <v>77.83</v>
      </c>
      <c r="K225" s="86" t="inlineStr">
        <is>
          <t>PEN</t>
        </is>
      </c>
    </row>
    <row r="226">
      <c r="A226" s="84" t="n">
        <v>31011357</v>
      </c>
      <c r="B226" s="67" t="inlineStr">
        <is>
          <t>TPSU</t>
        </is>
      </c>
      <c r="C226" s="90" t="inlineStr">
        <is>
          <t>L001</t>
        </is>
      </c>
      <c r="D226" s="84" t="n">
        <v>1030804</v>
      </c>
      <c r="E226" s="80" t="inlineStr">
        <is>
          <t>LOCTITE P/O'RINGS LOC-495.5</t>
        </is>
      </c>
      <c r="F226" s="67" t="inlineStr">
        <is>
          <t>UN</t>
        </is>
      </c>
      <c r="G226" s="84" t="n">
        <v>1</v>
      </c>
      <c r="H226" s="57" t="inlineStr">
        <is>
          <t>L32EAA3652</t>
        </is>
      </c>
      <c r="I226" s="139" t="n">
        <v>77.83</v>
      </c>
      <c r="J226" s="140" t="n">
        <v>77.83</v>
      </c>
      <c r="K226" s="86" t="inlineStr">
        <is>
          <t>PEN</t>
        </is>
      </c>
    </row>
    <row r="227">
      <c r="A227" s="84" t="n">
        <v>31012165</v>
      </c>
      <c r="B227" s="67" t="inlineStr">
        <is>
          <t>TPSU</t>
        </is>
      </c>
      <c r="C227" s="90" t="inlineStr">
        <is>
          <t>L001</t>
        </is>
      </c>
      <c r="D227" s="84" t="n">
        <v>1030804</v>
      </c>
      <c r="E227" s="80" t="inlineStr">
        <is>
          <t>PASTA CONDUCTORA CONDUC-TECK CU-CU</t>
        </is>
      </c>
      <c r="F227" s="67" t="inlineStr">
        <is>
          <t>UN</t>
        </is>
      </c>
      <c r="G227" s="84" t="n">
        <v>1</v>
      </c>
      <c r="H227" s="57" t="inlineStr">
        <is>
          <t>850922</t>
        </is>
      </c>
      <c r="I227" s="139" t="n">
        <v>166.5</v>
      </c>
      <c r="J227" s="140" t="n">
        <v>166.5</v>
      </c>
      <c r="K227" s="86" t="inlineStr">
        <is>
          <t>PEN</t>
        </is>
      </c>
    </row>
    <row r="228">
      <c r="A228" s="84" t="n">
        <v>31012168</v>
      </c>
      <c r="B228" s="67" t="inlineStr">
        <is>
          <t>TPSU</t>
        </is>
      </c>
      <c r="C228" s="90" t="inlineStr">
        <is>
          <t>L001</t>
        </is>
      </c>
      <c r="D228" s="84" t="n">
        <v>1030804</v>
      </c>
      <c r="E228" s="80" t="inlineStr">
        <is>
          <t>PASTA TERMICA DISIPADORA CONDUTERM</t>
        </is>
      </c>
      <c r="F228" s="67" t="inlineStr">
        <is>
          <t>UN</t>
        </is>
      </c>
      <c r="G228" s="84" t="n">
        <v>1</v>
      </c>
      <c r="H228" s="57" t="inlineStr">
        <is>
          <t>850122</t>
        </is>
      </c>
      <c r="I228" s="139" t="n">
        <v>143.27</v>
      </c>
      <c r="J228" s="140" t="n">
        <v>143.27</v>
      </c>
      <c r="K228" s="86" t="inlineStr">
        <is>
          <t>PEN</t>
        </is>
      </c>
    </row>
    <row r="229">
      <c r="A229" s="84" t="n">
        <v>31014273</v>
      </c>
      <c r="B229" s="67" t="inlineStr">
        <is>
          <t>TPSU</t>
        </is>
      </c>
      <c r="C229" s="90" t="inlineStr">
        <is>
          <t>L001</t>
        </is>
      </c>
      <c r="D229" s="84" t="n">
        <v>1030804</v>
      </c>
      <c r="E229" s="80" t="inlineStr">
        <is>
          <t>TEROKAL RECORD 56 X 1 LITRO</t>
        </is>
      </c>
      <c r="F229" s="67" t="inlineStr">
        <is>
          <t>FCO</t>
        </is>
      </c>
      <c r="G229" s="84" t="n">
        <v>5</v>
      </c>
      <c r="H229" s="57" t="inlineStr">
        <is>
          <t>13632</t>
        </is>
      </c>
      <c r="I229" s="139" t="n">
        <v>142.97</v>
      </c>
      <c r="J229" s="140" t="n">
        <v>28.594</v>
      </c>
      <c r="K229" s="86" t="inlineStr">
        <is>
          <t>PEN</t>
        </is>
      </c>
    </row>
    <row r="230">
      <c r="A230" s="84" t="n">
        <v>31010300</v>
      </c>
      <c r="B230" s="67" t="inlineStr">
        <is>
          <t>TPSU</t>
        </is>
      </c>
      <c r="C230" s="90" t="inlineStr">
        <is>
          <t>L001</t>
        </is>
      </c>
      <c r="D230" s="84" t="n">
        <v>1030805</v>
      </c>
      <c r="E230" s="80" t="inlineStr">
        <is>
          <t>ESPUMA SIKABOOM - POLIURETANO 500ML</t>
        </is>
      </c>
      <c r="F230" s="67" t="inlineStr">
        <is>
          <t>UN</t>
        </is>
      </c>
      <c r="G230" s="84" t="n">
        <v>2</v>
      </c>
      <c r="H230" s="57" t="inlineStr">
        <is>
          <t>005461</t>
        </is>
      </c>
      <c r="I230" s="139" t="n">
        <v>71.13</v>
      </c>
      <c r="J230" s="140" t="n">
        <v>35.565</v>
      </c>
      <c r="K230" s="86" t="inlineStr">
        <is>
          <t>PEN</t>
        </is>
      </c>
    </row>
    <row r="231">
      <c r="A231" s="84" t="n">
        <v>32003603</v>
      </c>
      <c r="B231" s="67" t="inlineStr">
        <is>
          <t>TPSU</t>
        </is>
      </c>
      <c r="C231" s="90" t="inlineStr">
        <is>
          <t>L001</t>
        </is>
      </c>
      <c r="D231" s="84" t="n">
        <v>1040101</v>
      </c>
      <c r="E231" s="80" t="inlineStr">
        <is>
          <t>BOLSA P/BASURA NEGRO 10LT X 1 UN</t>
        </is>
      </c>
      <c r="F231" s="67" t="inlineStr">
        <is>
          <t>UN</t>
        </is>
      </c>
      <c r="G231" s="84" t="n">
        <v>80</v>
      </c>
      <c r="H231" s="57" t="inlineStr"/>
      <c r="I231" s="139" t="n">
        <v>11.2</v>
      </c>
      <c r="J231" s="140" t="n">
        <v>0.14</v>
      </c>
      <c r="K231" s="86" t="inlineStr">
        <is>
          <t>PEN</t>
        </is>
      </c>
    </row>
    <row r="232">
      <c r="A232" s="84" t="n">
        <v>31008873</v>
      </c>
      <c r="B232" s="67" t="inlineStr">
        <is>
          <t>TPSU</t>
        </is>
      </c>
      <c r="C232" s="90" t="inlineStr">
        <is>
          <t>L001</t>
        </is>
      </c>
      <c r="D232" s="84" t="n">
        <v>1040101</v>
      </c>
      <c r="E232" s="80" t="inlineStr">
        <is>
          <t>BOLSA POLIET. 8 X 10 X 5</t>
        </is>
      </c>
      <c r="F232" s="67" t="inlineStr">
        <is>
          <t>UN</t>
        </is>
      </c>
      <c r="G232" s="84" t="n">
        <v>1500</v>
      </c>
      <c r="H232" s="57" t="inlineStr"/>
      <c r="I232" s="139" t="n">
        <v>375</v>
      </c>
      <c r="J232" s="140" t="n">
        <v>0.25</v>
      </c>
      <c r="K232" s="86" t="inlineStr">
        <is>
          <t>PEN</t>
        </is>
      </c>
    </row>
    <row r="233">
      <c r="A233" s="84" t="n">
        <v>32003602</v>
      </c>
      <c r="B233" s="67" t="inlineStr">
        <is>
          <t>TPSU</t>
        </is>
      </c>
      <c r="C233" s="90" t="inlineStr">
        <is>
          <t>L001</t>
        </is>
      </c>
      <c r="D233" s="84" t="n">
        <v>1040102</v>
      </c>
      <c r="E233" s="80" t="inlineStr">
        <is>
          <t>BOLSA P/BASURA NEGRO 100LT PQTE X 100UN</t>
        </is>
      </c>
      <c r="F233" s="67" t="inlineStr">
        <is>
          <t>PQT</t>
        </is>
      </c>
      <c r="G233" s="84" t="n">
        <v>16</v>
      </c>
      <c r="H233" s="57" t="inlineStr"/>
      <c r="I233" s="139" t="n">
        <v>294.65</v>
      </c>
      <c r="J233" s="140" t="n">
        <v>18.415625</v>
      </c>
      <c r="K233" s="86" t="inlineStr">
        <is>
          <t>PEN</t>
        </is>
      </c>
    </row>
    <row r="234">
      <c r="A234" s="84" t="n">
        <v>32003605</v>
      </c>
      <c r="B234" s="67" t="inlineStr">
        <is>
          <t>TPSU</t>
        </is>
      </c>
      <c r="C234" s="90" t="inlineStr">
        <is>
          <t>L001</t>
        </is>
      </c>
      <c r="D234" s="84" t="n">
        <v>1040103</v>
      </c>
      <c r="E234" s="80" t="inlineStr">
        <is>
          <t>BOLSA P/BASURA ROJO 140LT PQTE X 100UN</t>
        </is>
      </c>
      <c r="F234" s="67" t="inlineStr">
        <is>
          <t>PQT</t>
        </is>
      </c>
      <c r="G234" s="84" t="n">
        <v>10</v>
      </c>
      <c r="H234" s="57" t="inlineStr"/>
      <c r="I234" s="139" t="n">
        <v>750</v>
      </c>
      <c r="J234" s="140" t="n">
        <v>75</v>
      </c>
      <c r="K234" s="86" t="inlineStr">
        <is>
          <t>PEN</t>
        </is>
      </c>
    </row>
    <row r="235">
      <c r="A235" s="84" t="n">
        <v>32005492</v>
      </c>
      <c r="B235" s="67" t="inlineStr">
        <is>
          <t>TPSU</t>
        </is>
      </c>
      <c r="C235" s="90" t="inlineStr">
        <is>
          <t>L001</t>
        </is>
      </c>
      <c r="D235" s="84" t="n">
        <v>1040104</v>
      </c>
      <c r="E235" s="80" t="inlineStr">
        <is>
          <t>BOLSA P/BASURA ROJO 240LT PQTE X 100UN</t>
        </is>
      </c>
      <c r="F235" s="67" t="inlineStr">
        <is>
          <t>PQT</t>
        </is>
      </c>
      <c r="G235" s="84" t="n">
        <v>5</v>
      </c>
      <c r="H235" s="57" t="inlineStr"/>
      <c r="I235" s="139" t="n">
        <v>370</v>
      </c>
      <c r="J235" s="140" t="n">
        <v>74</v>
      </c>
      <c r="K235" s="86" t="inlineStr">
        <is>
          <t>PEN</t>
        </is>
      </c>
    </row>
    <row r="236">
      <c r="A236" s="84" t="n">
        <v>32006187</v>
      </c>
      <c r="B236" s="67" t="inlineStr">
        <is>
          <t>TPSU</t>
        </is>
      </c>
      <c r="C236" s="90" t="inlineStr">
        <is>
          <t>L001</t>
        </is>
      </c>
      <c r="D236" s="84" t="n">
        <v>1040105</v>
      </c>
      <c r="E236" s="80" t="inlineStr">
        <is>
          <t>LEJIA TRADICIONAL 1 LITRO</t>
        </is>
      </c>
      <c r="F236" s="67" t="inlineStr">
        <is>
          <t>UN</t>
        </is>
      </c>
      <c r="G236" s="84" t="n">
        <v>4</v>
      </c>
      <c r="H236" s="57" t="inlineStr"/>
      <c r="I236" s="139" t="n">
        <v>9.109999999999999</v>
      </c>
      <c r="J236" s="140" t="n">
        <v>2.2775</v>
      </c>
      <c r="K236" s="86" t="inlineStr">
        <is>
          <t>PEN</t>
        </is>
      </c>
    </row>
    <row r="237">
      <c r="A237" s="84" t="n">
        <v>32003510</v>
      </c>
      <c r="B237" s="67" t="inlineStr">
        <is>
          <t>TPSU</t>
        </is>
      </c>
      <c r="C237" s="90" t="inlineStr">
        <is>
          <t>L001</t>
        </is>
      </c>
      <c r="D237" s="84" t="n">
        <v>1040201</v>
      </c>
      <c r="E237" s="80" t="inlineStr">
        <is>
          <t>ATOMIZADOR MANUAL PVC 1LT</t>
        </is>
      </c>
      <c r="F237" s="67" t="inlineStr">
        <is>
          <t>UN</t>
        </is>
      </c>
      <c r="G237" s="84" t="n">
        <v>30</v>
      </c>
      <c r="H237" s="57" t="inlineStr"/>
      <c r="I237" s="139" t="n">
        <v>120.15</v>
      </c>
      <c r="J237" s="140" t="n">
        <v>4.005</v>
      </c>
      <c r="K237" s="86" t="inlineStr">
        <is>
          <t>PEN</t>
        </is>
      </c>
    </row>
    <row r="238">
      <c r="A238" s="84" t="n">
        <v>32005029</v>
      </c>
      <c r="B238" s="67" t="inlineStr">
        <is>
          <t>TPSU</t>
        </is>
      </c>
      <c r="C238" s="90" t="inlineStr">
        <is>
          <t>L001</t>
        </is>
      </c>
      <c r="D238" s="84" t="n">
        <v>1040202</v>
      </c>
      <c r="E238" s="80" t="inlineStr">
        <is>
          <t>REPUESTO PULVERIZADOR</t>
        </is>
      </c>
      <c r="F238" s="67" t="inlineStr">
        <is>
          <t>UN</t>
        </is>
      </c>
      <c r="G238" s="84" t="n">
        <v>24</v>
      </c>
      <c r="H238" s="57" t="inlineStr"/>
      <c r="I238" s="139" t="n">
        <v>161.49</v>
      </c>
      <c r="J238" s="140" t="n">
        <v>6.728750000000001</v>
      </c>
      <c r="K238" s="86" t="inlineStr">
        <is>
          <t>PEN</t>
        </is>
      </c>
    </row>
    <row r="239">
      <c r="A239" s="84" t="n">
        <v>32005491</v>
      </c>
      <c r="B239" s="67" t="inlineStr">
        <is>
          <t>TPSU</t>
        </is>
      </c>
      <c r="C239" s="90" t="inlineStr">
        <is>
          <t>L001</t>
        </is>
      </c>
      <c r="D239" s="84" t="n">
        <v>1040203</v>
      </c>
      <c r="E239" s="80" t="inlineStr">
        <is>
          <t>BOLSA P/BASURA NEGRO 140LT PQTE X 100UN</t>
        </is>
      </c>
      <c r="F239" s="67" t="inlineStr">
        <is>
          <t>PQT</t>
        </is>
      </c>
      <c r="G239" s="84" t="n">
        <v>4</v>
      </c>
      <c r="H239" s="57" t="inlineStr"/>
      <c r="I239" s="139" t="n">
        <v>272</v>
      </c>
      <c r="J239" s="140" t="n">
        <v>68</v>
      </c>
      <c r="K239" s="86" t="inlineStr">
        <is>
          <t>PEN</t>
        </is>
      </c>
    </row>
    <row r="240">
      <c r="A240" s="84" t="n">
        <v>32005493</v>
      </c>
      <c r="B240" s="67" t="inlineStr">
        <is>
          <t>TPSU</t>
        </is>
      </c>
      <c r="C240" s="90" t="inlineStr">
        <is>
          <t>L001</t>
        </is>
      </c>
      <c r="D240" s="84" t="n">
        <v>1040204</v>
      </c>
      <c r="E240" s="80" t="inlineStr">
        <is>
          <t>BOLSA P/BASURA NEGRO 240LT PQTE X 100UN</t>
        </is>
      </c>
      <c r="F240" s="67" t="inlineStr">
        <is>
          <t>PQT</t>
        </is>
      </c>
      <c r="G240" s="84" t="n">
        <v>6</v>
      </c>
      <c r="H240" s="57" t="inlineStr"/>
      <c r="I240" s="139" t="n">
        <v>342</v>
      </c>
      <c r="J240" s="140" t="n">
        <v>57</v>
      </c>
      <c r="K240" s="86" t="inlineStr">
        <is>
          <t>PEN</t>
        </is>
      </c>
    </row>
    <row r="241">
      <c r="A241" s="84" t="n">
        <v>32004684</v>
      </c>
      <c r="B241" s="67" t="inlineStr">
        <is>
          <t>TPSU</t>
        </is>
      </c>
      <c r="C241" s="90" t="inlineStr">
        <is>
          <t>L001</t>
        </is>
      </c>
      <c r="D241" s="84" t="n">
        <v>1040301</v>
      </c>
      <c r="E241" s="80" t="inlineStr">
        <is>
          <t>MASCARILLA DRILL BLANCA TAPA BOCA CORTEX</t>
        </is>
      </c>
      <c r="F241" s="67" t="inlineStr">
        <is>
          <t>UN</t>
        </is>
      </c>
      <c r="G241" s="84" t="n">
        <v>1500</v>
      </c>
      <c r="H241" s="57" t="inlineStr">
        <is>
          <t>0000020572</t>
        </is>
      </c>
      <c r="I241" s="139" t="n">
        <v>2158.42</v>
      </c>
      <c r="J241" s="140" t="n">
        <v>1.438946666666667</v>
      </c>
      <c r="K241" s="86" t="inlineStr">
        <is>
          <t>PEN</t>
        </is>
      </c>
    </row>
    <row r="242">
      <c r="A242" s="84" t="n">
        <v>32004684</v>
      </c>
      <c r="B242" s="67" t="inlineStr">
        <is>
          <t>TPSU</t>
        </is>
      </c>
      <c r="C242" s="90" t="inlineStr">
        <is>
          <t>L001</t>
        </is>
      </c>
      <c r="D242" s="84" t="n">
        <v>1040301</v>
      </c>
      <c r="E242" s="80" t="inlineStr">
        <is>
          <t>MASCARILLA DRILL BLANCA TAPA BOCA CORTEX</t>
        </is>
      </c>
      <c r="F242" s="67" t="inlineStr">
        <is>
          <t>UN</t>
        </is>
      </c>
      <c r="G242" s="84" t="n">
        <v>416</v>
      </c>
      <c r="H242" s="57" t="inlineStr">
        <is>
          <t>G21554</t>
        </is>
      </c>
      <c r="I242" s="139" t="n">
        <v>598.6</v>
      </c>
      <c r="J242" s="140" t="n">
        <v>1.438942307692308</v>
      </c>
      <c r="K242" s="86" t="inlineStr">
        <is>
          <t>PEN</t>
        </is>
      </c>
    </row>
    <row r="243">
      <c r="A243" s="84" t="n">
        <v>32004684</v>
      </c>
      <c r="B243" s="67" t="inlineStr">
        <is>
          <t>TPSU</t>
        </is>
      </c>
      <c r="C243" s="90" t="inlineStr">
        <is>
          <t>L001</t>
        </is>
      </c>
      <c r="D243" s="84" t="n">
        <v>1040301</v>
      </c>
      <c r="E243" s="80" t="inlineStr">
        <is>
          <t>MASCARILLA DRILL BLANCA TAPA BOCA CORTEX</t>
        </is>
      </c>
      <c r="F243" s="67" t="inlineStr">
        <is>
          <t>UN</t>
        </is>
      </c>
      <c r="G243" s="84" t="n">
        <v>250</v>
      </c>
      <c r="H243" s="57" t="inlineStr">
        <is>
          <t>GT001128</t>
        </is>
      </c>
      <c r="I243" s="139" t="n">
        <v>359.74</v>
      </c>
      <c r="J243" s="140" t="n">
        <v>1.43896</v>
      </c>
      <c r="K243" s="86" t="inlineStr">
        <is>
          <t>PEN</t>
        </is>
      </c>
    </row>
    <row r="244">
      <c r="A244" s="84" t="n">
        <v>32005316</v>
      </c>
      <c r="B244" s="67" t="inlineStr">
        <is>
          <t>TPSU</t>
        </is>
      </c>
      <c r="C244" s="90" t="inlineStr">
        <is>
          <t>L001</t>
        </is>
      </c>
      <c r="D244" s="84" t="n">
        <v>1040301</v>
      </c>
      <c r="E244" s="80" t="inlineStr">
        <is>
          <t>TOALLA 80X160CM.380GR/M2 C/BLANCO BORD.</t>
        </is>
      </c>
      <c r="F244" s="67" t="inlineStr">
        <is>
          <t>UN</t>
        </is>
      </c>
      <c r="G244" s="84" t="n">
        <v>10</v>
      </c>
      <c r="H244" s="57" t="inlineStr"/>
      <c r="I244" s="139" t="n">
        <v>167.75</v>
      </c>
      <c r="J244" s="140" t="n">
        <v>16.775</v>
      </c>
      <c r="K244" s="86" t="inlineStr">
        <is>
          <t>PEN</t>
        </is>
      </c>
    </row>
    <row r="245">
      <c r="A245" s="84" t="n">
        <v>32005140</v>
      </c>
      <c r="B245" s="67" t="inlineStr">
        <is>
          <t>TPSU</t>
        </is>
      </c>
      <c r="C245" s="90" t="inlineStr">
        <is>
          <t>L001</t>
        </is>
      </c>
      <c r="D245" s="84" t="n">
        <v>1040302</v>
      </c>
      <c r="E245" s="80" t="inlineStr">
        <is>
          <t>SILICONA EN SPRAY P/AUTOS</t>
        </is>
      </c>
      <c r="F245" s="67" t="inlineStr">
        <is>
          <t>UN</t>
        </is>
      </c>
      <c r="G245" s="84" t="n">
        <v>3</v>
      </c>
      <c r="H245" s="57" t="inlineStr">
        <is>
          <t>2210215060</t>
        </is>
      </c>
      <c r="I245" s="139" t="n">
        <v>24.6</v>
      </c>
      <c r="J245" s="140" t="n">
        <v>8.200000000000001</v>
      </c>
      <c r="K245" s="86" t="inlineStr">
        <is>
          <t>PEN</t>
        </is>
      </c>
    </row>
    <row r="246">
      <c r="A246" s="84" t="n">
        <v>32005140</v>
      </c>
      <c r="B246" s="67" t="inlineStr">
        <is>
          <t>TPSU</t>
        </is>
      </c>
      <c r="C246" s="90" t="inlineStr">
        <is>
          <t>L001</t>
        </is>
      </c>
      <c r="D246" s="84" t="n">
        <v>1040302</v>
      </c>
      <c r="E246" s="80" t="inlineStr">
        <is>
          <t>SILICONA EN SPRAY P/AUTOS</t>
        </is>
      </c>
      <c r="F246" s="67" t="inlineStr">
        <is>
          <t>UN</t>
        </is>
      </c>
      <c r="G246" s="84" t="n">
        <v>3</v>
      </c>
      <c r="H246" s="57" t="inlineStr">
        <is>
          <t>2211065060</t>
        </is>
      </c>
      <c r="I246" s="139" t="n">
        <v>24.6</v>
      </c>
      <c r="J246" s="140" t="n">
        <v>8.200000000000001</v>
      </c>
      <c r="K246" s="86" t="inlineStr">
        <is>
          <t>PEN</t>
        </is>
      </c>
    </row>
    <row r="247">
      <c r="A247" s="84" t="n">
        <v>32005140</v>
      </c>
      <c r="B247" s="67" t="inlineStr">
        <is>
          <t>TPSU</t>
        </is>
      </c>
      <c r="C247" s="90" t="inlineStr">
        <is>
          <t>L001</t>
        </is>
      </c>
      <c r="D247" s="84" t="n">
        <v>1040302</v>
      </c>
      <c r="E247" s="80" t="inlineStr">
        <is>
          <t>SILICONA EN SPRAY P/AUTOS</t>
        </is>
      </c>
      <c r="F247" s="67" t="inlineStr">
        <is>
          <t>UN</t>
        </is>
      </c>
      <c r="G247" s="84" t="n">
        <v>7</v>
      </c>
      <c r="H247" s="57" t="inlineStr">
        <is>
          <t>2303105060</t>
        </is>
      </c>
      <c r="I247" s="139" t="n">
        <v>57.39</v>
      </c>
      <c r="J247" s="140" t="n">
        <v>8.198571428571428</v>
      </c>
      <c r="K247" s="86" t="inlineStr">
        <is>
          <t>PEN</t>
        </is>
      </c>
    </row>
    <row r="248">
      <c r="A248" s="84" t="n">
        <v>32005318</v>
      </c>
      <c r="B248" s="67" t="inlineStr">
        <is>
          <t>TPSU</t>
        </is>
      </c>
      <c r="C248" s="90" t="inlineStr">
        <is>
          <t>L001</t>
        </is>
      </c>
      <c r="D248" s="84" t="n">
        <v>1040302</v>
      </c>
      <c r="E248" s="80" t="inlineStr">
        <is>
          <t>TOALLA FELPA 40X60CM C/BLANCO C/LOG TASA</t>
        </is>
      </c>
      <c r="F248" s="67" t="inlineStr">
        <is>
          <t>UN</t>
        </is>
      </c>
      <c r="G248" s="84" t="n">
        <v>11</v>
      </c>
      <c r="H248" s="57" t="inlineStr"/>
      <c r="I248" s="139" t="n">
        <v>77.89</v>
      </c>
      <c r="J248" s="140" t="n">
        <v>7.080909090909091</v>
      </c>
      <c r="K248" s="86" t="inlineStr">
        <is>
          <t>PEN</t>
        </is>
      </c>
    </row>
    <row r="249">
      <c r="A249" s="84" t="n">
        <v>32004192</v>
      </c>
      <c r="B249" s="67" t="inlineStr">
        <is>
          <t>TPSU</t>
        </is>
      </c>
      <c r="C249" s="90" t="inlineStr">
        <is>
          <t>L001</t>
        </is>
      </c>
      <c r="D249" s="84" t="n">
        <v>1040303</v>
      </c>
      <c r="E249" s="80" t="inlineStr">
        <is>
          <t>ESPONJA LAVA VAJILLA DOBLE USO C/VERDE</t>
        </is>
      </c>
      <c r="F249" s="67" t="inlineStr">
        <is>
          <t>UN</t>
        </is>
      </c>
      <c r="G249" s="84" t="n">
        <v>18</v>
      </c>
      <c r="H249" s="57" t="inlineStr"/>
      <c r="I249" s="139" t="n">
        <v>17.65</v>
      </c>
      <c r="J249" s="140" t="n">
        <v>0.9805555555555555</v>
      </c>
      <c r="K249" s="86" t="inlineStr">
        <is>
          <t>PEN</t>
        </is>
      </c>
    </row>
    <row r="250">
      <c r="A250" s="84" t="n">
        <v>32004888</v>
      </c>
      <c r="B250" s="67" t="inlineStr">
        <is>
          <t>TPSU</t>
        </is>
      </c>
      <c r="C250" s="90" t="inlineStr">
        <is>
          <t>L001</t>
        </is>
      </c>
      <c r="D250" s="84" t="n">
        <v>1040303</v>
      </c>
      <c r="E250" s="80" t="inlineStr">
        <is>
          <t>PASTILLA DESODORANTE P/BAÑO</t>
        </is>
      </c>
      <c r="F250" s="67" t="inlineStr">
        <is>
          <t>UN</t>
        </is>
      </c>
      <c r="G250" s="84" t="n">
        <v>15</v>
      </c>
      <c r="H250" s="57" t="inlineStr"/>
      <c r="I250" s="139" t="n">
        <v>40.33</v>
      </c>
      <c r="J250" s="140" t="n">
        <v>2.688666666666667</v>
      </c>
      <c r="K250" s="86" t="inlineStr">
        <is>
          <t>PEN</t>
        </is>
      </c>
    </row>
    <row r="251">
      <c r="A251" s="84" t="n">
        <v>32004167</v>
      </c>
      <c r="B251" s="67" t="inlineStr">
        <is>
          <t>TPSU</t>
        </is>
      </c>
      <c r="C251" s="90" t="inlineStr">
        <is>
          <t>L001</t>
        </is>
      </c>
      <c r="D251" s="84" t="n">
        <v>1040304</v>
      </c>
      <c r="E251" s="80" t="inlineStr">
        <is>
          <t>ESCOBILLA NYLON P/LIMPIAR INODORO</t>
        </is>
      </c>
      <c r="F251" s="67" t="inlineStr">
        <is>
          <t>UN</t>
        </is>
      </c>
      <c r="G251" s="84" t="n">
        <v>2</v>
      </c>
      <c r="H251" s="57" t="inlineStr"/>
      <c r="I251" s="139" t="n">
        <v>3.41</v>
      </c>
      <c r="J251" s="140" t="n">
        <v>1.705</v>
      </c>
      <c r="K251" s="86" t="inlineStr">
        <is>
          <t>PEN</t>
        </is>
      </c>
    </row>
    <row r="252">
      <c r="A252" s="84" t="n">
        <v>32004575</v>
      </c>
      <c r="B252" s="67" t="inlineStr">
        <is>
          <t>TPSU</t>
        </is>
      </c>
      <c r="C252" s="90" t="inlineStr">
        <is>
          <t>L001</t>
        </is>
      </c>
      <c r="D252" s="84" t="n">
        <v>1040304</v>
      </c>
      <c r="E252" s="80" t="inlineStr">
        <is>
          <t>LIMPIADOR DESINFECTANTE LIQUIDO (GLN)</t>
        </is>
      </c>
      <c r="F252" s="67" t="inlineStr">
        <is>
          <t>GLN</t>
        </is>
      </c>
      <c r="G252" s="84" t="n">
        <v>2</v>
      </c>
      <c r="H252" s="57" t="inlineStr">
        <is>
          <t>20600042</t>
        </is>
      </c>
      <c r="I252" s="139" t="n">
        <v>86.95</v>
      </c>
      <c r="J252" s="140" t="n">
        <v>43.475</v>
      </c>
      <c r="K252" s="86" t="inlineStr">
        <is>
          <t>PEN</t>
        </is>
      </c>
    </row>
    <row r="253">
      <c r="A253" s="84" t="n">
        <v>32004575</v>
      </c>
      <c r="B253" s="67" t="inlineStr">
        <is>
          <t>TPSU</t>
        </is>
      </c>
      <c r="C253" s="90" t="inlineStr">
        <is>
          <t>L001</t>
        </is>
      </c>
      <c r="D253" s="84" t="n">
        <v>1040304</v>
      </c>
      <c r="E253" s="80" t="inlineStr">
        <is>
          <t>LIMPIADOR DESINFECTANTE LIQUIDO (GLN)</t>
        </is>
      </c>
      <c r="F253" s="67" t="inlineStr">
        <is>
          <t>GLN</t>
        </is>
      </c>
      <c r="G253" s="84" t="n">
        <v>2</v>
      </c>
      <c r="H253" s="57" t="inlineStr">
        <is>
          <t>21200011</t>
        </is>
      </c>
      <c r="I253" s="139" t="n">
        <v>86.95</v>
      </c>
      <c r="J253" s="140" t="n">
        <v>43.475</v>
      </c>
      <c r="K253" s="86" t="inlineStr">
        <is>
          <t>PEN</t>
        </is>
      </c>
    </row>
    <row r="254">
      <c r="A254" s="84" t="n">
        <v>32005434</v>
      </c>
      <c r="B254" s="67" t="inlineStr">
        <is>
          <t>TPSU</t>
        </is>
      </c>
      <c r="C254" s="90" t="inlineStr">
        <is>
          <t>L001</t>
        </is>
      </c>
      <c r="D254" s="84" t="n">
        <v>1040305</v>
      </c>
      <c r="E254" s="80" t="inlineStr">
        <is>
          <t>DESINCRUSTANTE LIQUIDO ACIDO (GLN)</t>
        </is>
      </c>
      <c r="F254" s="67" t="inlineStr">
        <is>
          <t>GLN</t>
        </is>
      </c>
      <c r="G254" s="84" t="n">
        <v>6</v>
      </c>
      <c r="H254" s="57" t="inlineStr">
        <is>
          <t>21000021</t>
        </is>
      </c>
      <c r="I254" s="139" t="n">
        <v>424.12</v>
      </c>
      <c r="J254" s="140" t="n">
        <v>70.68666666666667</v>
      </c>
      <c r="K254" s="86" t="inlineStr">
        <is>
          <t>PEN</t>
        </is>
      </c>
    </row>
    <row r="255">
      <c r="A255" s="84" t="n">
        <v>32004469</v>
      </c>
      <c r="B255" s="67" t="inlineStr">
        <is>
          <t>TPSU</t>
        </is>
      </c>
      <c r="C255" s="90" t="inlineStr">
        <is>
          <t>L001</t>
        </is>
      </c>
      <c r="D255" s="84" t="n">
        <v>1040401</v>
      </c>
      <c r="E255" s="80" t="inlineStr">
        <is>
          <t>JABON TOCADOR ANTIBACTERIAL E/BARRA 75g</t>
        </is>
      </c>
      <c r="F255" s="67" t="inlineStr">
        <is>
          <t>UN</t>
        </is>
      </c>
      <c r="G255" s="84" t="n">
        <v>1</v>
      </c>
      <c r="H255" s="57" t="inlineStr">
        <is>
          <t>212C4502</t>
        </is>
      </c>
      <c r="I255" s="139" t="n">
        <v>2.47</v>
      </c>
      <c r="J255" s="140" t="n">
        <v>2.47</v>
      </c>
      <c r="K255" s="86" t="inlineStr">
        <is>
          <t>PEN</t>
        </is>
      </c>
    </row>
    <row r="256">
      <c r="A256" s="84" t="n">
        <v>32004462</v>
      </c>
      <c r="B256" s="67" t="inlineStr">
        <is>
          <t>TPSU</t>
        </is>
      </c>
      <c r="C256" s="90" t="inlineStr">
        <is>
          <t>L001</t>
        </is>
      </c>
      <c r="D256" s="84" t="n">
        <v>1040402</v>
      </c>
      <c r="E256" s="80" t="inlineStr">
        <is>
          <t>JABON ESPUMA PURE DE 800 ML SIN AROMA</t>
        </is>
      </c>
      <c r="F256" s="67" t="inlineStr">
        <is>
          <t>UN</t>
        </is>
      </c>
      <c r="G256" s="84" t="n">
        <v>22</v>
      </c>
      <c r="H256" s="57" t="inlineStr">
        <is>
          <t>B232829789</t>
        </is>
      </c>
      <c r="I256" s="139" t="n">
        <v>627.11</v>
      </c>
      <c r="J256" s="140" t="n">
        <v>28.505</v>
      </c>
      <c r="K256" s="86" t="inlineStr">
        <is>
          <t>PEN</t>
        </is>
      </c>
    </row>
    <row r="257">
      <c r="A257" s="84" t="n">
        <v>32003474</v>
      </c>
      <c r="B257" s="67" t="inlineStr">
        <is>
          <t>TPSU</t>
        </is>
      </c>
      <c r="C257" s="90" t="inlineStr">
        <is>
          <t>L001</t>
        </is>
      </c>
      <c r="D257" s="84" t="n">
        <v>1040403</v>
      </c>
      <c r="E257" s="80" t="inlineStr">
        <is>
          <t>ALCOHOL DE 70° DE 500 ML</t>
        </is>
      </c>
      <c r="F257" s="67" t="inlineStr">
        <is>
          <t>UN</t>
        </is>
      </c>
      <c r="G257" s="84" t="n">
        <v>116</v>
      </c>
      <c r="H257" s="57" t="inlineStr">
        <is>
          <t>2040831</t>
        </is>
      </c>
      <c r="I257" s="139" t="n">
        <v>640.33</v>
      </c>
      <c r="J257" s="140" t="n">
        <v>5.520086206896552</v>
      </c>
      <c r="K257" s="86" t="inlineStr">
        <is>
          <t>PEN</t>
        </is>
      </c>
    </row>
    <row r="258">
      <c r="A258" s="84" t="n">
        <v>32003475</v>
      </c>
      <c r="B258" s="67" t="inlineStr">
        <is>
          <t>TPSU</t>
        </is>
      </c>
      <c r="C258" s="90" t="inlineStr">
        <is>
          <t>L001</t>
        </is>
      </c>
      <c r="D258" s="84" t="n">
        <v>1040403</v>
      </c>
      <c r="E258" s="80" t="inlineStr">
        <is>
          <t>ALCOHOL EN SPRAY DE 400ML X 63%</t>
        </is>
      </c>
      <c r="F258" s="67" t="inlineStr">
        <is>
          <t>UN</t>
        </is>
      </c>
      <c r="G258" s="84" t="n">
        <v>7</v>
      </c>
      <c r="H258" s="57" t="inlineStr">
        <is>
          <t>B224224520</t>
        </is>
      </c>
      <c r="I258" s="139" t="n">
        <v>130.17</v>
      </c>
      <c r="J258" s="140" t="n">
        <v>18.59571428571428</v>
      </c>
      <c r="K258" s="86" t="inlineStr">
        <is>
          <t>PEN</t>
        </is>
      </c>
    </row>
    <row r="259">
      <c r="A259" s="84" t="n">
        <v>32003475</v>
      </c>
      <c r="B259" s="67" t="inlineStr">
        <is>
          <t>TPSU</t>
        </is>
      </c>
      <c r="C259" s="90" t="inlineStr">
        <is>
          <t>L001</t>
        </is>
      </c>
      <c r="D259" s="84" t="n">
        <v>1040403</v>
      </c>
      <c r="E259" s="80" t="inlineStr">
        <is>
          <t>ALCOHOL EN SPRAY DE 400ML X 63%</t>
        </is>
      </c>
      <c r="F259" s="67" t="inlineStr">
        <is>
          <t>UN</t>
        </is>
      </c>
      <c r="G259" s="84" t="n">
        <v>8</v>
      </c>
      <c r="H259" s="57" t="inlineStr">
        <is>
          <t>B406624520</t>
        </is>
      </c>
      <c r="I259" s="139" t="n">
        <v>148.76</v>
      </c>
      <c r="J259" s="140" t="n">
        <v>18.595</v>
      </c>
      <c r="K259" s="86" t="inlineStr">
        <is>
          <t>PEN</t>
        </is>
      </c>
    </row>
    <row r="260">
      <c r="A260" s="84" t="n">
        <v>32004576</v>
      </c>
      <c r="B260" s="67" t="inlineStr">
        <is>
          <t>TPSU</t>
        </is>
      </c>
      <c r="C260" s="90" t="inlineStr">
        <is>
          <t>L001</t>
        </is>
      </c>
      <c r="D260" s="84" t="n">
        <v>1040404</v>
      </c>
      <c r="E260" s="80" t="inlineStr">
        <is>
          <t>LIMPIADOR VIDRIO</t>
        </is>
      </c>
      <c r="F260" s="67" t="inlineStr">
        <is>
          <t>UN</t>
        </is>
      </c>
      <c r="G260" s="84" t="n">
        <v>5</v>
      </c>
      <c r="H260" s="57" t="inlineStr">
        <is>
          <t>71180522</t>
        </is>
      </c>
      <c r="I260" s="139" t="n">
        <v>21.48</v>
      </c>
      <c r="J260" s="140" t="n">
        <v>4.296</v>
      </c>
      <c r="K260" s="86" t="inlineStr">
        <is>
          <t>PEN</t>
        </is>
      </c>
    </row>
    <row r="261">
      <c r="A261" s="84" t="n">
        <v>32004576</v>
      </c>
      <c r="B261" s="67" t="inlineStr">
        <is>
          <t>TPSU</t>
        </is>
      </c>
      <c r="C261" s="90" t="inlineStr">
        <is>
          <t>L001</t>
        </is>
      </c>
      <c r="D261" s="84" t="n">
        <v>1040404</v>
      </c>
      <c r="E261" s="80" t="inlineStr">
        <is>
          <t>LIMPIADOR VIDRIO</t>
        </is>
      </c>
      <c r="F261" s="67" t="inlineStr">
        <is>
          <t>UN</t>
        </is>
      </c>
      <c r="G261" s="84" t="n">
        <v>6</v>
      </c>
      <c r="H261" s="57" t="inlineStr">
        <is>
          <t>94281122</t>
        </is>
      </c>
      <c r="I261" s="139" t="n">
        <v>25.78</v>
      </c>
      <c r="J261" s="140" t="n">
        <v>4.296666666666667</v>
      </c>
      <c r="K261" s="86" t="inlineStr">
        <is>
          <t>PEN</t>
        </is>
      </c>
    </row>
    <row r="262">
      <c r="A262" s="84" t="n">
        <v>32004988</v>
      </c>
      <c r="B262" s="67" t="inlineStr">
        <is>
          <t>TPSU</t>
        </is>
      </c>
      <c r="C262" s="90" t="inlineStr">
        <is>
          <t>L001</t>
        </is>
      </c>
      <c r="D262" s="84" t="n">
        <v>1040404</v>
      </c>
      <c r="E262" s="80" t="inlineStr">
        <is>
          <t>PROTECTOR SOLAR FPS50 C/DISPENSADOR</t>
        </is>
      </c>
      <c r="F262" s="67" t="inlineStr">
        <is>
          <t>UN</t>
        </is>
      </c>
      <c r="G262" s="84" t="n">
        <v>1</v>
      </c>
      <c r="H262" s="57" t="inlineStr">
        <is>
          <t>20900202</t>
        </is>
      </c>
      <c r="I262" s="139" t="n">
        <v>109.98</v>
      </c>
      <c r="J262" s="140" t="n">
        <v>109.98</v>
      </c>
      <c r="K262" s="86" t="inlineStr">
        <is>
          <t>PEN</t>
        </is>
      </c>
    </row>
    <row r="263">
      <c r="A263" s="84" t="n">
        <v>32003488</v>
      </c>
      <c r="B263" s="67" t="inlineStr">
        <is>
          <t>TPSU</t>
        </is>
      </c>
      <c r="C263" s="90" t="inlineStr">
        <is>
          <t>L001</t>
        </is>
      </c>
      <c r="D263" s="84" t="n">
        <v>1040405</v>
      </c>
      <c r="E263" s="80" t="inlineStr">
        <is>
          <t>AMBIENTADOR DESODORANTE 360 ML EN SPRAY</t>
        </is>
      </c>
      <c r="F263" s="67" t="inlineStr">
        <is>
          <t>FCO</t>
        </is>
      </c>
      <c r="G263" s="84" t="n">
        <v>1</v>
      </c>
      <c r="H263" s="57" t="inlineStr">
        <is>
          <t>2209235060</t>
        </is>
      </c>
      <c r="I263" s="139" t="n">
        <v>4.8</v>
      </c>
      <c r="J263" s="140" t="n">
        <v>4.8</v>
      </c>
      <c r="K263" s="86" t="inlineStr">
        <is>
          <t>PEN</t>
        </is>
      </c>
    </row>
    <row r="264">
      <c r="A264" s="84" t="n">
        <v>32003488</v>
      </c>
      <c r="B264" s="67" t="inlineStr">
        <is>
          <t>TPSU</t>
        </is>
      </c>
      <c r="C264" s="90" t="inlineStr">
        <is>
          <t>L001</t>
        </is>
      </c>
      <c r="D264" s="84" t="n">
        <v>1040405</v>
      </c>
      <c r="E264" s="80" t="inlineStr">
        <is>
          <t>AMBIENTADOR DESODORANTE 360 ML EN SPRAY</t>
        </is>
      </c>
      <c r="F264" s="67" t="inlineStr">
        <is>
          <t>FCO</t>
        </is>
      </c>
      <c r="G264" s="84" t="n">
        <v>3</v>
      </c>
      <c r="H264" s="57" t="inlineStr">
        <is>
          <t>2209305060</t>
        </is>
      </c>
      <c r="I264" s="139" t="n">
        <v>14.41</v>
      </c>
      <c r="J264" s="140" t="n">
        <v>4.803333333333334</v>
      </c>
      <c r="K264" s="86" t="inlineStr">
        <is>
          <t>PEN</t>
        </is>
      </c>
    </row>
    <row r="265">
      <c r="A265" s="84" t="n">
        <v>32003488</v>
      </c>
      <c r="B265" s="67" t="inlineStr">
        <is>
          <t>TPSU</t>
        </is>
      </c>
      <c r="C265" s="90" t="inlineStr">
        <is>
          <t>L001</t>
        </is>
      </c>
      <c r="D265" s="84" t="n">
        <v>1040405</v>
      </c>
      <c r="E265" s="80" t="inlineStr">
        <is>
          <t>AMBIENTADOR DESODORANTE 360 ML EN SPRAY</t>
        </is>
      </c>
      <c r="F265" s="67" t="inlineStr">
        <is>
          <t>FCO</t>
        </is>
      </c>
      <c r="G265" s="84" t="n">
        <v>6</v>
      </c>
      <c r="H265" s="57" t="inlineStr">
        <is>
          <t>2212085060</t>
        </is>
      </c>
      <c r="I265" s="139" t="n">
        <v>28.82</v>
      </c>
      <c r="J265" s="140" t="n">
        <v>4.803333333333334</v>
      </c>
      <c r="K265" s="86" t="inlineStr">
        <is>
          <t>PEN</t>
        </is>
      </c>
    </row>
    <row r="266">
      <c r="A266" s="84" t="n">
        <v>32005490</v>
      </c>
      <c r="B266" s="67" t="inlineStr">
        <is>
          <t>TPSU</t>
        </is>
      </c>
      <c r="C266" s="90" t="inlineStr">
        <is>
          <t>L001</t>
        </is>
      </c>
      <c r="D266" s="84" t="n">
        <v>1040405</v>
      </c>
      <c r="E266" s="80" t="inlineStr">
        <is>
          <t>AMBIENTADOR LIQUIDO</t>
        </is>
      </c>
      <c r="F266" s="67" t="inlineStr">
        <is>
          <t>GLN</t>
        </is>
      </c>
      <c r="G266" s="84" t="n">
        <v>1</v>
      </c>
      <c r="H266" s="57" t="inlineStr">
        <is>
          <t>63150622</t>
        </is>
      </c>
      <c r="I266" s="139" t="n">
        <v>6.44</v>
      </c>
      <c r="J266" s="140" t="n">
        <v>6.44</v>
      </c>
      <c r="K266" s="86" t="inlineStr">
        <is>
          <t>PEN</t>
        </is>
      </c>
    </row>
    <row r="267">
      <c r="A267" s="84" t="n">
        <v>32004090</v>
      </c>
      <c r="B267" s="67" t="inlineStr">
        <is>
          <t>TPSU</t>
        </is>
      </c>
      <c r="C267" s="90" t="inlineStr">
        <is>
          <t>L001</t>
        </is>
      </c>
      <c r="D267" s="84" t="n">
        <v>1040405</v>
      </c>
      <c r="E267" s="80" t="inlineStr">
        <is>
          <t>DESINFECTANTE X 1LT</t>
        </is>
      </c>
      <c r="F267" s="67" t="inlineStr">
        <is>
          <t>L</t>
        </is>
      </c>
      <c r="G267" s="84" t="n">
        <v>4</v>
      </c>
      <c r="H267" s="57" t="inlineStr">
        <is>
          <t>37051222</t>
        </is>
      </c>
      <c r="I267" s="139" t="n">
        <v>8.800000000000001</v>
      </c>
      <c r="J267" s="140" t="n">
        <v>2.2</v>
      </c>
      <c r="K267" s="86" t="inlineStr">
        <is>
          <t>PEN</t>
        </is>
      </c>
    </row>
    <row r="268">
      <c r="A268" s="84" t="n">
        <v>32004090</v>
      </c>
      <c r="B268" s="67" t="inlineStr">
        <is>
          <t>TPSU</t>
        </is>
      </c>
      <c r="C268" s="90" t="inlineStr">
        <is>
          <t>L001</t>
        </is>
      </c>
      <c r="D268" s="84" t="n">
        <v>1040405</v>
      </c>
      <c r="E268" s="80" t="inlineStr">
        <is>
          <t>DESINFECTANTE X 1LT</t>
        </is>
      </c>
      <c r="F268" s="67" t="inlineStr">
        <is>
          <t>L</t>
        </is>
      </c>
      <c r="G268" s="84" t="n">
        <v>2</v>
      </c>
      <c r="H268" s="57" t="inlineStr">
        <is>
          <t>GR1-6965</t>
        </is>
      </c>
      <c r="I268" s="139" t="n">
        <v>4.4</v>
      </c>
      <c r="J268" s="140" t="n">
        <v>2.2</v>
      </c>
      <c r="K268" s="86" t="inlineStr">
        <is>
          <t>PEN</t>
        </is>
      </c>
    </row>
    <row r="269">
      <c r="A269" s="84" t="n">
        <v>32004159</v>
      </c>
      <c r="B269" s="67" t="inlineStr">
        <is>
          <t>TPSU</t>
        </is>
      </c>
      <c r="C269" s="90" t="inlineStr">
        <is>
          <t>L001</t>
        </is>
      </c>
      <c r="D269" s="84" t="n">
        <v>1040501</v>
      </c>
      <c r="E269" s="80" t="inlineStr">
        <is>
          <t>ESCOBA MANO DE NYLON C/MANGO DE MADERA</t>
        </is>
      </c>
      <c r="F269" s="67" t="inlineStr">
        <is>
          <t>UN</t>
        </is>
      </c>
      <c r="G269" s="84" t="n">
        <v>11</v>
      </c>
      <c r="H269" s="57" t="inlineStr"/>
      <c r="I269" s="139" t="n">
        <v>25.58</v>
      </c>
      <c r="J269" s="140" t="n">
        <v>2.325454545454545</v>
      </c>
      <c r="K269" s="86" t="inlineStr">
        <is>
          <t>PEN</t>
        </is>
      </c>
    </row>
    <row r="270">
      <c r="A270" s="84" t="n">
        <v>32003531</v>
      </c>
      <c r="B270" s="67" t="inlineStr">
        <is>
          <t>TPSU</t>
        </is>
      </c>
      <c r="C270" s="90" t="inlineStr">
        <is>
          <t>L001</t>
        </is>
      </c>
      <c r="D270" s="84" t="n">
        <v>1040503</v>
      </c>
      <c r="E270" s="80" t="inlineStr">
        <is>
          <t>BANDERA BLANCA C/LOGO 1.20 X 0.80 CM</t>
        </is>
      </c>
      <c r="F270" s="67" t="inlineStr">
        <is>
          <t>UN</t>
        </is>
      </c>
      <c r="G270" s="84" t="n">
        <v>3</v>
      </c>
      <c r="H270" s="57" t="inlineStr"/>
      <c r="I270" s="139" t="n">
        <v>930</v>
      </c>
      <c r="J270" s="140" t="n">
        <v>310</v>
      </c>
      <c r="K270" s="86" t="inlineStr">
        <is>
          <t>PEN</t>
        </is>
      </c>
    </row>
    <row r="271">
      <c r="A271" s="84" t="n">
        <v>32008682</v>
      </c>
      <c r="B271" s="67" t="inlineStr">
        <is>
          <t>TPSU</t>
        </is>
      </c>
      <c r="C271" s="90" t="inlineStr">
        <is>
          <t>L001</t>
        </is>
      </c>
      <c r="D271" s="84" t="n">
        <v>1040504</v>
      </c>
      <c r="E271" s="80" t="inlineStr">
        <is>
          <t>BANDERA PERUANA P/RM 1.80M X 1.10MT</t>
        </is>
      </c>
      <c r="F271" s="67" t="inlineStr">
        <is>
          <t>UN</t>
        </is>
      </c>
      <c r="G271" s="84" t="n">
        <v>9</v>
      </c>
      <c r="H271" s="57" t="inlineStr"/>
      <c r="I271" s="139" t="n">
        <v>540</v>
      </c>
      <c r="J271" s="140" t="n">
        <v>60</v>
      </c>
      <c r="K271" s="86" t="inlineStr">
        <is>
          <t>PEN</t>
        </is>
      </c>
    </row>
    <row r="272">
      <c r="A272" s="84" t="n">
        <v>32003553</v>
      </c>
      <c r="B272" s="67" t="inlineStr">
        <is>
          <t>TPSU</t>
        </is>
      </c>
      <c r="C272" s="90" t="inlineStr">
        <is>
          <t>L001</t>
        </is>
      </c>
      <c r="D272" s="84" t="n">
        <v>1040602</v>
      </c>
      <c r="E272" s="80" t="inlineStr">
        <is>
          <t>BETUN PARA CALZADO COLOR NEGRO 80 ML</t>
        </is>
      </c>
      <c r="F272" s="67" t="inlineStr">
        <is>
          <t>UN</t>
        </is>
      </c>
      <c r="G272" s="84" t="n">
        <v>50</v>
      </c>
      <c r="H272" s="57" t="inlineStr">
        <is>
          <t>2203255010</t>
        </is>
      </c>
      <c r="I272" s="139" t="n">
        <v>169.12</v>
      </c>
      <c r="J272" s="140" t="n">
        <v>3.3824</v>
      </c>
      <c r="K272" s="86" t="inlineStr">
        <is>
          <t>PEN</t>
        </is>
      </c>
    </row>
    <row r="273">
      <c r="A273" s="84" t="n">
        <v>32006808</v>
      </c>
      <c r="B273" s="67" t="inlineStr">
        <is>
          <t>TPSU</t>
        </is>
      </c>
      <c r="C273" s="90" t="inlineStr">
        <is>
          <t>L001</t>
        </is>
      </c>
      <c r="D273" s="84" t="n">
        <v>1040602</v>
      </c>
      <c r="E273" s="80" t="inlineStr">
        <is>
          <t>ESCOBILLA PARA CALZADO 12.5 CM</t>
        </is>
      </c>
      <c r="F273" s="67" t="inlineStr">
        <is>
          <t>UN</t>
        </is>
      </c>
      <c r="G273" s="84" t="n">
        <v>2</v>
      </c>
      <c r="H273" s="57" t="inlineStr">
        <is>
          <t>NUEVO</t>
        </is>
      </c>
      <c r="I273" s="139" t="n">
        <v>7.3</v>
      </c>
      <c r="J273" s="140" t="n">
        <v>3.65</v>
      </c>
      <c r="K273" s="86" t="inlineStr">
        <is>
          <t>PEN</t>
        </is>
      </c>
    </row>
    <row r="274">
      <c r="A274" s="84" t="n">
        <v>32008244</v>
      </c>
      <c r="B274" s="67" t="inlineStr">
        <is>
          <t>TPSU</t>
        </is>
      </c>
      <c r="C274" s="90" t="inlineStr">
        <is>
          <t>L001</t>
        </is>
      </c>
      <c r="D274" s="84" t="n">
        <v>1040603</v>
      </c>
      <c r="E274" s="80" t="inlineStr">
        <is>
          <t>KIT UTILES DE ASEO DAMA</t>
        </is>
      </c>
      <c r="F274" s="67" t="inlineStr">
        <is>
          <t>UN</t>
        </is>
      </c>
      <c r="G274" s="84" t="n">
        <v>1</v>
      </c>
      <c r="H274" s="57" t="inlineStr"/>
      <c r="I274" s="139" t="n">
        <v>23.75</v>
      </c>
      <c r="J274" s="140" t="n">
        <v>23.75</v>
      </c>
      <c r="K274" s="86" t="inlineStr">
        <is>
          <t>PEN</t>
        </is>
      </c>
    </row>
    <row r="275">
      <c r="A275" s="84" t="n">
        <v>32008275</v>
      </c>
      <c r="B275" s="67" t="inlineStr">
        <is>
          <t>TPSU</t>
        </is>
      </c>
      <c r="C275" s="90" t="inlineStr">
        <is>
          <t>L001</t>
        </is>
      </c>
      <c r="D275" s="84" t="n">
        <v>1040603</v>
      </c>
      <c r="E275" s="80" t="inlineStr">
        <is>
          <t>KIT UTILES DE ASEO VARON</t>
        </is>
      </c>
      <c r="F275" s="67" t="inlineStr">
        <is>
          <t>UN</t>
        </is>
      </c>
      <c r="G275" s="84" t="n">
        <v>15</v>
      </c>
      <c r="H275" s="57" t="inlineStr"/>
      <c r="I275" s="139" t="n">
        <v>356.25</v>
      </c>
      <c r="J275" s="140" t="n">
        <v>23.75</v>
      </c>
      <c r="K275" s="86" t="inlineStr">
        <is>
          <t>PEN</t>
        </is>
      </c>
    </row>
    <row r="276">
      <c r="A276" s="84" t="n">
        <v>32005409</v>
      </c>
      <c r="B276" s="67" t="inlineStr">
        <is>
          <t>TPSU</t>
        </is>
      </c>
      <c r="C276" s="90" t="inlineStr">
        <is>
          <t>L001</t>
        </is>
      </c>
      <c r="D276" s="84" t="n">
        <v>1040702</v>
      </c>
      <c r="E276" s="80" t="inlineStr">
        <is>
          <t>BANDERA PERUANA 1.20 X 0.80 MT</t>
        </is>
      </c>
      <c r="F276" s="67" t="inlineStr">
        <is>
          <t>UN</t>
        </is>
      </c>
      <c r="G276" s="84" t="n">
        <v>8</v>
      </c>
      <c r="H276" s="57" t="inlineStr"/>
      <c r="I276" s="139" t="n">
        <v>195.7</v>
      </c>
      <c r="J276" s="140" t="n">
        <v>24.4625</v>
      </c>
      <c r="K276" s="86" t="inlineStr">
        <is>
          <t>PEN</t>
        </is>
      </c>
    </row>
    <row r="277">
      <c r="A277" s="84" t="n">
        <v>32008681</v>
      </c>
      <c r="B277" s="67" t="inlineStr">
        <is>
          <t>TPSU</t>
        </is>
      </c>
      <c r="C277" s="90" t="inlineStr">
        <is>
          <t>L001</t>
        </is>
      </c>
      <c r="D277" s="84" t="n">
        <v>1040702</v>
      </c>
      <c r="E277" s="80" t="inlineStr">
        <is>
          <t>BANDERA PERUANA P/RM 0.60M X 0.35 MT</t>
        </is>
      </c>
      <c r="F277" s="67" t="inlineStr">
        <is>
          <t>UN</t>
        </is>
      </c>
      <c r="G277" s="84" t="n">
        <v>4</v>
      </c>
      <c r="H277" s="57" t="inlineStr"/>
      <c r="I277" s="139" t="n">
        <v>112</v>
      </c>
      <c r="J277" s="140" t="n">
        <v>28</v>
      </c>
      <c r="K277" s="86" t="inlineStr">
        <is>
          <t>PEN</t>
        </is>
      </c>
    </row>
    <row r="278">
      <c r="A278" s="84" t="n">
        <v>32008775</v>
      </c>
      <c r="B278" s="67" t="inlineStr">
        <is>
          <t>TPSU</t>
        </is>
      </c>
      <c r="C278" s="90" t="inlineStr">
        <is>
          <t>L001</t>
        </is>
      </c>
      <c r="D278" s="84" t="n">
        <v>1040705</v>
      </c>
      <c r="E278" s="80" t="inlineStr">
        <is>
          <t>BOLSAS P/BASURA NEGRAS 300LT 1.5"x100UN</t>
        </is>
      </c>
      <c r="F278" s="67" t="inlineStr">
        <is>
          <t>PQT</t>
        </is>
      </c>
      <c r="G278" s="84" t="n">
        <v>2</v>
      </c>
      <c r="H278" s="57" t="inlineStr">
        <is>
          <t>NUEVO</t>
        </is>
      </c>
      <c r="I278" s="139" t="n">
        <v>146</v>
      </c>
      <c r="J278" s="140" t="n">
        <v>73</v>
      </c>
      <c r="K278" s="86" t="inlineStr">
        <is>
          <t>PEN</t>
        </is>
      </c>
    </row>
    <row r="279">
      <c r="A279" s="84" t="n">
        <v>32003598</v>
      </c>
      <c r="B279" s="67" t="inlineStr">
        <is>
          <t>TPSU</t>
        </is>
      </c>
      <c r="C279" s="90" t="inlineStr">
        <is>
          <t>L001</t>
        </is>
      </c>
      <c r="D279" s="84" t="n">
        <v>1040801</v>
      </c>
      <c r="E279" s="80" t="inlineStr">
        <is>
          <t>BOLSA 16"X19" CON ASA POLIETILENO</t>
        </is>
      </c>
      <c r="F279" s="67" t="inlineStr">
        <is>
          <t>PQT</t>
        </is>
      </c>
      <c r="G279" s="84" t="n">
        <v>10</v>
      </c>
      <c r="H279" s="57" t="inlineStr"/>
      <c r="I279" s="139" t="n">
        <v>71.2</v>
      </c>
      <c r="J279" s="140" t="n">
        <v>7.12</v>
      </c>
      <c r="K279" s="86" t="inlineStr">
        <is>
          <t>PEN</t>
        </is>
      </c>
    </row>
    <row r="280">
      <c r="A280" s="84" t="n">
        <v>32008776</v>
      </c>
      <c r="B280" s="67" t="inlineStr">
        <is>
          <t>TPSU</t>
        </is>
      </c>
      <c r="C280" s="90" t="inlineStr">
        <is>
          <t>L001</t>
        </is>
      </c>
      <c r="D280" s="84" t="n">
        <v>1040805</v>
      </c>
      <c r="E280" s="80" t="inlineStr">
        <is>
          <t>BOLSAS P/BASURA ROJAS 300LT 1.5"X100UN</t>
        </is>
      </c>
      <c r="F280" s="67" t="inlineStr">
        <is>
          <t>PQT</t>
        </is>
      </c>
      <c r="G280" s="84" t="n">
        <v>2</v>
      </c>
      <c r="H280" s="57" t="inlineStr">
        <is>
          <t>NUEVO</t>
        </is>
      </c>
      <c r="I280" s="139" t="n">
        <v>190.8</v>
      </c>
      <c r="J280" s="140" t="n">
        <v>95.40000000000001</v>
      </c>
      <c r="K280" s="86" t="inlineStr">
        <is>
          <t>PEN</t>
        </is>
      </c>
    </row>
    <row r="281">
      <c r="A281" s="84" t="n">
        <v>20000626</v>
      </c>
      <c r="B281" s="67" t="inlineStr">
        <is>
          <t>TPSU</t>
        </is>
      </c>
      <c r="C281" s="90" t="inlineStr">
        <is>
          <t>L001</t>
        </is>
      </c>
      <c r="D281" s="84" t="n">
        <v>1050102</v>
      </c>
      <c r="E281" s="80" t="inlineStr">
        <is>
          <t>STRETCH FILM 9" X 20 MICRAS X 217MT</t>
        </is>
      </c>
      <c r="F281" s="67" t="inlineStr">
        <is>
          <t>ROL</t>
        </is>
      </c>
      <c r="G281" s="84" t="n">
        <v>5</v>
      </c>
      <c r="H281" s="57" t="inlineStr">
        <is>
          <t>2011000766</t>
        </is>
      </c>
      <c r="I281" s="139" t="n">
        <v>57.42</v>
      </c>
      <c r="J281" s="140" t="n">
        <v>11.484</v>
      </c>
      <c r="K281" s="86" t="inlineStr">
        <is>
          <t>PEN</t>
        </is>
      </c>
    </row>
    <row r="282">
      <c r="A282" s="84" t="n">
        <v>20000627</v>
      </c>
      <c r="B282" s="67" t="inlineStr">
        <is>
          <t>TPSU</t>
        </is>
      </c>
      <c r="C282" s="90" t="inlineStr">
        <is>
          <t>L001</t>
        </is>
      </c>
      <c r="D282" s="84" t="n">
        <v>1050103</v>
      </c>
      <c r="E282" s="80" t="inlineStr">
        <is>
          <t>STRETCH FILM 12" X 20 MICRAS X 217 MT</t>
        </is>
      </c>
      <c r="F282" s="67" t="inlineStr">
        <is>
          <t>ROL</t>
        </is>
      </c>
      <c r="G282" s="84" t="n">
        <v>3</v>
      </c>
      <c r="H282" s="57" t="inlineStr">
        <is>
          <t>1112100</t>
        </is>
      </c>
      <c r="I282" s="139" t="n">
        <v>35.26</v>
      </c>
      <c r="J282" s="140" t="n">
        <v>11.75333333333333</v>
      </c>
      <c r="K282" s="86" t="inlineStr">
        <is>
          <t>PEN</t>
        </is>
      </c>
    </row>
    <row r="283">
      <c r="A283" s="84" t="n">
        <v>20000627</v>
      </c>
      <c r="B283" s="67" t="inlineStr">
        <is>
          <t>TPSU</t>
        </is>
      </c>
      <c r="C283" s="90" t="inlineStr">
        <is>
          <t>L001</t>
        </is>
      </c>
      <c r="D283" s="84" t="n">
        <v>1050103</v>
      </c>
      <c r="E283" s="141" t="inlineStr">
        <is>
          <t>STRETCH FILM 12" X 20 MICRAS X 217 MT</t>
        </is>
      </c>
      <c r="F283" s="67" t="inlineStr">
        <is>
          <t>ROL</t>
        </is>
      </c>
      <c r="G283" s="84" t="n">
        <v>1</v>
      </c>
      <c r="H283" s="57" t="inlineStr">
        <is>
          <t>230101135</t>
        </is>
      </c>
      <c r="I283" s="139" t="n">
        <v>11.75</v>
      </c>
      <c r="J283" s="140" t="n">
        <v>11.75</v>
      </c>
      <c r="K283" s="86" t="inlineStr">
        <is>
          <t>PEN</t>
        </is>
      </c>
    </row>
    <row r="284">
      <c r="A284" s="84" t="n">
        <v>20000627</v>
      </c>
      <c r="B284" s="67" t="inlineStr">
        <is>
          <t>TPSU</t>
        </is>
      </c>
      <c r="C284" s="90" t="inlineStr">
        <is>
          <t>L001</t>
        </is>
      </c>
      <c r="D284" s="84" t="n">
        <v>1050103</v>
      </c>
      <c r="E284" s="80" t="inlineStr">
        <is>
          <t>STRETCH FILM 12" X 20 MICRAS X 217 MT</t>
        </is>
      </c>
      <c r="F284" s="67" t="inlineStr">
        <is>
          <t>ROL</t>
        </is>
      </c>
      <c r="G284" s="84" t="n">
        <v>8</v>
      </c>
      <c r="H284" s="57" t="inlineStr">
        <is>
          <t>NUEVO</t>
        </is>
      </c>
      <c r="I284" s="139" t="n">
        <v>94.03</v>
      </c>
      <c r="J284" s="140" t="n">
        <v>11.75375</v>
      </c>
      <c r="K284" s="86" t="inlineStr">
        <is>
          <t>PEN</t>
        </is>
      </c>
    </row>
    <row r="285">
      <c r="A285" s="84" t="n">
        <v>20000628</v>
      </c>
      <c r="B285" s="67" t="inlineStr">
        <is>
          <t>TPSU</t>
        </is>
      </c>
      <c r="C285" s="90" t="inlineStr">
        <is>
          <t>L001</t>
        </is>
      </c>
      <c r="D285" s="84" t="n">
        <v>1050104</v>
      </c>
      <c r="E285" s="80" t="inlineStr">
        <is>
          <t>STRETCH FILM 18" X 20 MICRAS X 241 MT</t>
        </is>
      </c>
      <c r="F285" s="67" t="inlineStr">
        <is>
          <t>KG</t>
        </is>
      </c>
      <c r="G285" s="84" t="n">
        <v>12</v>
      </c>
      <c r="H285" s="57" t="inlineStr">
        <is>
          <t>220901114</t>
        </is>
      </c>
      <c r="I285" s="139" t="n">
        <v>135.85</v>
      </c>
      <c r="J285" s="140" t="n">
        <v>11.32083333333333</v>
      </c>
      <c r="K285" s="86" t="inlineStr">
        <is>
          <t>PEN</t>
        </is>
      </c>
    </row>
    <row r="286">
      <c r="A286" s="84" t="n">
        <v>33029513</v>
      </c>
      <c r="B286" s="67" t="inlineStr">
        <is>
          <t>TPSU</t>
        </is>
      </c>
      <c r="C286" s="90" t="inlineStr">
        <is>
          <t>L001</t>
        </is>
      </c>
      <c r="D286" s="84" t="n">
        <v>1050105</v>
      </c>
      <c r="E286" s="80" t="inlineStr">
        <is>
          <t>ACOPLAM. P/PROLONGACION MANG.4.111-029.0</t>
        </is>
      </c>
      <c r="F286" s="67" t="inlineStr">
        <is>
          <t>UN</t>
        </is>
      </c>
      <c r="G286" s="84" t="n">
        <v>1</v>
      </c>
      <c r="H286" s="57" t="inlineStr"/>
      <c r="I286" s="139" t="n">
        <v>49.98</v>
      </c>
      <c r="J286" s="140" t="n">
        <v>49.98</v>
      </c>
      <c r="K286" s="86" t="inlineStr">
        <is>
          <t>PEN</t>
        </is>
      </c>
    </row>
    <row r="287">
      <c r="A287" s="84" t="n">
        <v>33029513</v>
      </c>
      <c r="B287" s="67" t="inlineStr">
        <is>
          <t>TPSU</t>
        </is>
      </c>
      <c r="C287" s="90" t="inlineStr">
        <is>
          <t>L004</t>
        </is>
      </c>
      <c r="D287" s="84" t="n">
        <v>1050105</v>
      </c>
      <c r="E287" s="80" t="inlineStr">
        <is>
          <t>ACOPLAM. P/PROLONGACION MANG.4.111-029.0</t>
        </is>
      </c>
      <c r="F287" s="67" t="inlineStr">
        <is>
          <t>UN</t>
        </is>
      </c>
      <c r="G287" s="84" t="n">
        <v>1</v>
      </c>
      <c r="H287" s="57" t="inlineStr"/>
      <c r="I287" s="139" t="n">
        <v>49.98</v>
      </c>
      <c r="J287" s="140" t="n">
        <v>49.98</v>
      </c>
      <c r="K287" s="86" t="inlineStr">
        <is>
          <t>PEN</t>
        </is>
      </c>
    </row>
    <row r="288">
      <c r="A288" s="84" t="n">
        <v>31008882</v>
      </c>
      <c r="B288" s="67" t="inlineStr">
        <is>
          <t>TPSU</t>
        </is>
      </c>
      <c r="C288" s="90" t="inlineStr">
        <is>
          <t>L001</t>
        </is>
      </c>
      <c r="D288" s="84" t="n">
        <v>1050105</v>
      </c>
      <c r="E288" s="80" t="inlineStr">
        <is>
          <t>BOQUILLA CHORRO ABANICO 25045 P/LANZA</t>
        </is>
      </c>
      <c r="F288" s="67" t="inlineStr">
        <is>
          <t>UN</t>
        </is>
      </c>
      <c r="G288" s="84" t="n">
        <v>1</v>
      </c>
      <c r="H288" s="57" t="inlineStr"/>
      <c r="I288" s="139" t="n">
        <v>53.66</v>
      </c>
      <c r="J288" s="140" t="n">
        <v>53.66</v>
      </c>
      <c r="K288" s="86" t="inlineStr">
        <is>
          <t>PEN</t>
        </is>
      </c>
    </row>
    <row r="289">
      <c r="A289" s="84" t="n">
        <v>31008882</v>
      </c>
      <c r="B289" s="67" t="inlineStr">
        <is>
          <t>TPSU</t>
        </is>
      </c>
      <c r="C289" s="90" t="inlineStr">
        <is>
          <t>L004</t>
        </is>
      </c>
      <c r="D289" s="84" t="n">
        <v>1050105</v>
      </c>
      <c r="E289" s="80" t="inlineStr">
        <is>
          <t>BOQUILLA CHORRO ABANICO 25045 P/LANZA</t>
        </is>
      </c>
      <c r="F289" s="67" t="inlineStr">
        <is>
          <t>UN</t>
        </is>
      </c>
      <c r="G289" s="84" t="n">
        <v>1</v>
      </c>
      <c r="H289" s="57" t="inlineStr"/>
      <c r="I289" s="139" t="n">
        <v>53.66</v>
      </c>
      <c r="J289" s="140" t="n">
        <v>53.66</v>
      </c>
      <c r="K289" s="86" t="inlineStr">
        <is>
          <t>PEN</t>
        </is>
      </c>
    </row>
    <row r="290">
      <c r="A290" s="84" t="n">
        <v>33040662</v>
      </c>
      <c r="B290" s="67" t="inlineStr">
        <is>
          <t>TPSU</t>
        </is>
      </c>
      <c r="C290" s="90" t="inlineStr">
        <is>
          <t>L001</t>
        </is>
      </c>
      <c r="D290" s="84" t="n">
        <v>1050105</v>
      </c>
      <c r="E290" s="80" t="inlineStr">
        <is>
          <t>LANZA CORTA DE 25 CM 4.760-667.0</t>
        </is>
      </c>
      <c r="F290" s="67" t="inlineStr">
        <is>
          <t>UN</t>
        </is>
      </c>
      <c r="G290" s="84" t="n">
        <v>1</v>
      </c>
      <c r="H290" s="57" t="inlineStr"/>
      <c r="I290" s="139" t="n">
        <v>140.75</v>
      </c>
      <c r="J290" s="140" t="n">
        <v>140.75</v>
      </c>
      <c r="K290" s="86" t="inlineStr">
        <is>
          <t>PEN</t>
        </is>
      </c>
    </row>
    <row r="291">
      <c r="A291" s="84" t="n">
        <v>33040662</v>
      </c>
      <c r="B291" s="67" t="inlineStr">
        <is>
          <t>TPSU</t>
        </is>
      </c>
      <c r="C291" s="90" t="inlineStr">
        <is>
          <t>L004</t>
        </is>
      </c>
      <c r="D291" s="84" t="n">
        <v>1050105</v>
      </c>
      <c r="E291" s="80" t="inlineStr">
        <is>
          <t>LANZA CORTA DE 25 CM 4.760-667.0</t>
        </is>
      </c>
      <c r="F291" s="67" t="inlineStr">
        <is>
          <t>UN</t>
        </is>
      </c>
      <c r="G291" s="84" t="n">
        <v>1</v>
      </c>
      <c r="H291" s="57" t="inlineStr"/>
      <c r="I291" s="139" t="n">
        <v>140.75</v>
      </c>
      <c r="J291" s="140" t="n">
        <v>140.75</v>
      </c>
      <c r="K291" s="86" t="inlineStr">
        <is>
          <t>PEN</t>
        </is>
      </c>
    </row>
    <row r="292">
      <c r="A292" s="84" t="n">
        <v>33040745</v>
      </c>
      <c r="B292" s="67" t="inlineStr">
        <is>
          <t>TPSU</t>
        </is>
      </c>
      <c r="C292" s="90" t="inlineStr">
        <is>
          <t>L004</t>
        </is>
      </c>
      <c r="D292" s="84" t="n">
        <v>1050105</v>
      </c>
      <c r="E292" s="80" t="inlineStr">
        <is>
          <t>MANG. ALTA PRESION 10MT/315 BAR R5.6.391</t>
        </is>
      </c>
      <c r="F292" s="67" t="inlineStr">
        <is>
          <t>UN</t>
        </is>
      </c>
      <c r="G292" s="84" t="n">
        <v>1</v>
      </c>
      <c r="H292" s="57" t="inlineStr"/>
      <c r="I292" s="139" t="n">
        <v>296.15</v>
      </c>
      <c r="J292" s="140" t="n">
        <v>296.15</v>
      </c>
      <c r="K292" s="86" t="inlineStr">
        <is>
          <t>PEN</t>
        </is>
      </c>
    </row>
    <row r="293">
      <c r="A293" s="84" t="n">
        <v>33040745</v>
      </c>
      <c r="B293" s="67" t="inlineStr">
        <is>
          <t>TPSU</t>
        </is>
      </c>
      <c r="C293" s="90" t="inlineStr">
        <is>
          <t>L001</t>
        </is>
      </c>
      <c r="D293" s="84" t="n">
        <v>1050106</v>
      </c>
      <c r="E293" s="80" t="inlineStr">
        <is>
          <t>MANG. ALTA PRESION 10MT/315 BAR R5.6.391</t>
        </is>
      </c>
      <c r="F293" s="67" t="inlineStr">
        <is>
          <t>UN</t>
        </is>
      </c>
      <c r="G293" s="84" t="n">
        <v>1</v>
      </c>
      <c r="H293" s="57" t="inlineStr"/>
      <c r="I293" s="139" t="n">
        <v>296.15</v>
      </c>
      <c r="J293" s="140" t="n">
        <v>296.15</v>
      </c>
      <c r="K293" s="86" t="inlineStr">
        <is>
          <t>PEN</t>
        </is>
      </c>
    </row>
    <row r="294">
      <c r="A294" s="84" t="n">
        <v>31015596</v>
      </c>
      <c r="B294" s="67" t="inlineStr">
        <is>
          <t>TPSU</t>
        </is>
      </c>
      <c r="C294" s="90" t="inlineStr">
        <is>
          <t>L001</t>
        </is>
      </c>
      <c r="D294" s="84" t="n">
        <v>1050202</v>
      </c>
      <c r="E294" s="80" t="inlineStr">
        <is>
          <t>GRASERA CURVA 1/4" NPT X 45º</t>
        </is>
      </c>
      <c r="F294" s="67" t="inlineStr">
        <is>
          <t>UN</t>
        </is>
      </c>
      <c r="G294" s="84" t="n">
        <v>23</v>
      </c>
      <c r="H294" s="57" t="inlineStr"/>
      <c r="I294" s="139" t="n">
        <v>39.1</v>
      </c>
      <c r="J294" s="140" t="n">
        <v>1.7</v>
      </c>
      <c r="K294" s="86" t="inlineStr">
        <is>
          <t>PEN</t>
        </is>
      </c>
    </row>
    <row r="295">
      <c r="A295" s="84" t="n">
        <v>31015597</v>
      </c>
      <c r="B295" s="67" t="inlineStr">
        <is>
          <t>TPSU</t>
        </is>
      </c>
      <c r="C295" s="90" t="inlineStr">
        <is>
          <t>L001</t>
        </is>
      </c>
      <c r="D295" s="84" t="n">
        <v>1050202</v>
      </c>
      <c r="E295" s="80" t="inlineStr">
        <is>
          <t>GRASERA CURVA 1/4"NPT X 90º</t>
        </is>
      </c>
      <c r="F295" s="67" t="inlineStr">
        <is>
          <t>UN</t>
        </is>
      </c>
      <c r="G295" s="84" t="n">
        <v>16</v>
      </c>
      <c r="H295" s="57" t="inlineStr"/>
      <c r="I295" s="139" t="n">
        <v>24.45</v>
      </c>
      <c r="J295" s="140" t="n">
        <v>1.528125</v>
      </c>
      <c r="K295" s="86" t="inlineStr">
        <is>
          <t>PEN</t>
        </is>
      </c>
    </row>
    <row r="296">
      <c r="A296" s="84" t="n">
        <v>31013228</v>
      </c>
      <c r="B296" s="67" t="inlineStr">
        <is>
          <t>TPSU</t>
        </is>
      </c>
      <c r="C296" s="90" t="inlineStr">
        <is>
          <t>L001</t>
        </is>
      </c>
      <c r="D296" s="84" t="n">
        <v>1050202</v>
      </c>
      <c r="E296" s="80" t="inlineStr">
        <is>
          <t>PITON P/ENGRASADORA</t>
        </is>
      </c>
      <c r="F296" s="67" t="inlineStr">
        <is>
          <t>UN</t>
        </is>
      </c>
      <c r="G296" s="84" t="n">
        <v>7</v>
      </c>
      <c r="H296" s="57" t="inlineStr"/>
      <c r="I296" s="139" t="n">
        <v>43.05</v>
      </c>
      <c r="J296" s="140" t="n">
        <v>6.149999999999999</v>
      </c>
      <c r="K296" s="86" t="inlineStr">
        <is>
          <t>PEN</t>
        </is>
      </c>
    </row>
    <row r="297">
      <c r="A297" s="84" t="n">
        <v>31013880</v>
      </c>
      <c r="B297" s="67" t="inlineStr">
        <is>
          <t>TPSU</t>
        </is>
      </c>
      <c r="C297" s="90" t="inlineStr">
        <is>
          <t>L001</t>
        </is>
      </c>
      <c r="D297" s="84" t="n">
        <v>1050203</v>
      </c>
      <c r="E297" s="80" t="inlineStr">
        <is>
          <t>SOLDIMIX 10 MINUTOS</t>
        </is>
      </c>
      <c r="F297" s="67" t="inlineStr">
        <is>
          <t>UN</t>
        </is>
      </c>
      <c r="G297" s="84" t="n">
        <v>5</v>
      </c>
      <c r="H297" s="57" t="inlineStr">
        <is>
          <t>091699</t>
        </is>
      </c>
      <c r="I297" s="139" t="n">
        <v>30.99</v>
      </c>
      <c r="J297" s="140" t="n">
        <v>6.198</v>
      </c>
      <c r="K297" s="86" t="inlineStr">
        <is>
          <t>PEN</t>
        </is>
      </c>
    </row>
    <row r="298">
      <c r="A298" s="84" t="n">
        <v>33031417</v>
      </c>
      <c r="B298" s="67" t="inlineStr">
        <is>
          <t>TPSU</t>
        </is>
      </c>
      <c r="C298" s="90" t="inlineStr">
        <is>
          <t>L001</t>
        </is>
      </c>
      <c r="D298" s="84" t="n">
        <v>1050204</v>
      </c>
      <c r="E298" s="80" t="inlineStr">
        <is>
          <t>CONECTOR RAPIDO 90º ORIENT.G3/8" OD 10</t>
        </is>
      </c>
      <c r="F298" s="67" t="inlineStr">
        <is>
          <t>UN</t>
        </is>
      </c>
      <c r="G298" s="84" t="n">
        <v>6</v>
      </c>
      <c r="H298" s="57" t="inlineStr"/>
      <c r="I298" s="139" t="n">
        <v>87</v>
      </c>
      <c r="J298" s="140" t="n">
        <v>14.5</v>
      </c>
      <c r="K298" s="86" t="inlineStr">
        <is>
          <t>PEN</t>
        </is>
      </c>
    </row>
    <row r="299">
      <c r="A299" s="84" t="n">
        <v>31010185</v>
      </c>
      <c r="B299" s="67" t="inlineStr">
        <is>
          <t>TPSU</t>
        </is>
      </c>
      <c r="C299" s="90" t="inlineStr">
        <is>
          <t>L001</t>
        </is>
      </c>
      <c r="D299" s="84" t="n">
        <v>1050302</v>
      </c>
      <c r="E299" s="80" t="inlineStr">
        <is>
          <t>ESCOBILLA AC.INOX. 12"-4 HILERAS C/MANGO</t>
        </is>
      </c>
      <c r="F299" s="67" t="inlineStr">
        <is>
          <t>UN</t>
        </is>
      </c>
      <c r="G299" s="84" t="n">
        <v>1</v>
      </c>
      <c r="H299" s="57" t="inlineStr"/>
      <c r="I299" s="139" t="n">
        <v>6.82</v>
      </c>
      <c r="J299" s="140" t="n">
        <v>6.82</v>
      </c>
      <c r="K299" s="86" t="inlineStr">
        <is>
          <t>PEN</t>
        </is>
      </c>
    </row>
    <row r="300">
      <c r="A300" s="84" t="n">
        <v>31010296</v>
      </c>
      <c r="B300" s="67" t="inlineStr">
        <is>
          <t>TPSU</t>
        </is>
      </c>
      <c r="C300" s="90" t="inlineStr">
        <is>
          <t>L001</t>
        </is>
      </c>
      <c r="D300" s="84" t="n">
        <v>1050302</v>
      </c>
      <c r="E300" s="80" t="inlineStr">
        <is>
          <t>ESPATULA RIGIDA 6 EN 1- 3"AC.CARB. 4YP28</t>
        </is>
      </c>
      <c r="F300" s="67" t="inlineStr">
        <is>
          <t>UN</t>
        </is>
      </c>
      <c r="G300" s="84" t="n">
        <v>14</v>
      </c>
      <c r="H300" s="57" t="inlineStr"/>
      <c r="I300" s="139" t="n">
        <v>560</v>
      </c>
      <c r="J300" s="140" t="n">
        <v>40</v>
      </c>
      <c r="K300" s="86" t="inlineStr">
        <is>
          <t>PEN</t>
        </is>
      </c>
    </row>
    <row r="301">
      <c r="A301" s="84" t="n">
        <v>31015684</v>
      </c>
      <c r="B301" s="67" t="inlineStr">
        <is>
          <t>TPSU</t>
        </is>
      </c>
      <c r="C301" s="90" t="inlineStr">
        <is>
          <t>L001</t>
        </is>
      </c>
      <c r="D301" s="84" t="n">
        <v>1050303</v>
      </c>
      <c r="E301" s="80" t="inlineStr">
        <is>
          <t>ESPATULA RASPADOR 3"/LARGO59  62960</t>
        </is>
      </c>
      <c r="F301" s="67" t="inlineStr">
        <is>
          <t>UN</t>
        </is>
      </c>
      <c r="G301" s="84" t="n">
        <v>1</v>
      </c>
      <c r="H301" s="57" t="inlineStr"/>
      <c r="I301" s="139" t="n">
        <v>163</v>
      </c>
      <c r="J301" s="140" t="n">
        <v>163</v>
      </c>
      <c r="K301" s="86" t="inlineStr">
        <is>
          <t>PEN</t>
        </is>
      </c>
    </row>
    <row r="302">
      <c r="A302" s="84" t="n">
        <v>31010295</v>
      </c>
      <c r="B302" s="67" t="inlineStr">
        <is>
          <t>TPSU</t>
        </is>
      </c>
      <c r="C302" s="90" t="inlineStr">
        <is>
          <t>L001</t>
        </is>
      </c>
      <c r="D302" s="84" t="n">
        <v>1050303</v>
      </c>
      <c r="E302" s="80" t="inlineStr">
        <is>
          <t>ESPATULA RASPADOR 4"/LARGO48" 5FZH4-HYDE</t>
        </is>
      </c>
      <c r="F302" s="67" t="inlineStr">
        <is>
          <t>UN</t>
        </is>
      </c>
      <c r="G302" s="84" t="n">
        <v>6</v>
      </c>
      <c r="H302" s="57" t="inlineStr"/>
      <c r="I302" s="139" t="n">
        <v>1141.61</v>
      </c>
      <c r="J302" s="140" t="n">
        <v>190.2683333333333</v>
      </c>
      <c r="K302" s="86" t="inlineStr">
        <is>
          <t>PEN</t>
        </is>
      </c>
    </row>
    <row r="303">
      <c r="A303" s="84" t="n">
        <v>31010996</v>
      </c>
      <c r="B303" s="67" t="inlineStr">
        <is>
          <t>TPSU</t>
        </is>
      </c>
      <c r="C303" s="90" t="inlineStr">
        <is>
          <t>L001</t>
        </is>
      </c>
      <c r="D303" s="84" t="n">
        <v>1050304</v>
      </c>
      <c r="E303" s="80" t="inlineStr">
        <is>
          <t>HOJA SIERRA 12" X 1/2" X 18 DIENTES</t>
        </is>
      </c>
      <c r="F303" s="67" t="inlineStr">
        <is>
          <t>UN</t>
        </is>
      </c>
      <c r="G303" s="84" t="n">
        <v>18</v>
      </c>
      <c r="H303" s="57" t="inlineStr"/>
      <c r="I303" s="139" t="n">
        <v>77.40000000000001</v>
      </c>
      <c r="J303" s="140" t="n">
        <v>4.300000000000001</v>
      </c>
      <c r="K303" s="86" t="inlineStr">
        <is>
          <t>PEN</t>
        </is>
      </c>
    </row>
    <row r="304">
      <c r="A304" s="84" t="n">
        <v>31010184</v>
      </c>
      <c r="B304" s="67" t="inlineStr">
        <is>
          <t>TPSU</t>
        </is>
      </c>
      <c r="C304" s="90" t="inlineStr">
        <is>
          <t>L001</t>
        </is>
      </c>
      <c r="D304" s="84" t="n">
        <v>1050305</v>
      </c>
      <c r="E304" s="80" t="inlineStr">
        <is>
          <t>ESCOBILLA 4 HILERAS-12" C/MANGO-FE.</t>
        </is>
      </c>
      <c r="F304" s="67" t="inlineStr">
        <is>
          <t>UN</t>
        </is>
      </c>
      <c r="G304" s="84" t="n">
        <v>6</v>
      </c>
      <c r="H304" s="57" t="inlineStr"/>
      <c r="I304" s="139" t="n">
        <v>56.75</v>
      </c>
      <c r="J304" s="140" t="n">
        <v>9.458333333333334</v>
      </c>
      <c r="K304" s="86" t="inlineStr">
        <is>
          <t>PEN</t>
        </is>
      </c>
    </row>
    <row r="305">
      <c r="A305" s="84" t="n">
        <v>31012991</v>
      </c>
      <c r="B305" s="67" t="inlineStr">
        <is>
          <t>TPSU</t>
        </is>
      </c>
      <c r="C305" s="90" t="inlineStr">
        <is>
          <t>L001</t>
        </is>
      </c>
      <c r="D305" s="84" t="n">
        <v>1050305</v>
      </c>
      <c r="E305" s="80" t="inlineStr">
        <is>
          <t>PICOTA 24MM X 12"</t>
        </is>
      </c>
      <c r="F305" s="67" t="inlineStr">
        <is>
          <t>UN</t>
        </is>
      </c>
      <c r="G305" s="84" t="n">
        <v>6</v>
      </c>
      <c r="H305" s="57" t="inlineStr"/>
      <c r="I305" s="139" t="n">
        <v>135.26</v>
      </c>
      <c r="J305" s="140" t="n">
        <v>22.54333333333333</v>
      </c>
      <c r="K305" s="86" t="inlineStr">
        <is>
          <t>PEN</t>
        </is>
      </c>
    </row>
    <row r="306">
      <c r="A306" s="84" t="n">
        <v>33034773</v>
      </c>
      <c r="B306" s="67" t="inlineStr">
        <is>
          <t>TPSU</t>
        </is>
      </c>
      <c r="C306" s="90" t="inlineStr">
        <is>
          <t>L001</t>
        </is>
      </c>
      <c r="D306" s="84" t="n">
        <v>1050306</v>
      </c>
      <c r="E306" s="80" t="inlineStr">
        <is>
          <t>MANG.FLEX.MALLA 4''X1220MM INOX. BRD A</t>
        </is>
      </c>
      <c r="F306" s="67" t="inlineStr">
        <is>
          <t>UN</t>
        </is>
      </c>
      <c r="G306" s="84" t="n">
        <v>1</v>
      </c>
      <c r="H306" s="57" t="inlineStr"/>
      <c r="I306" s="139" t="n">
        <v>1596.99</v>
      </c>
      <c r="J306" s="140" t="n">
        <v>1596.99</v>
      </c>
      <c r="K306" s="86" t="inlineStr">
        <is>
          <t>PEN</t>
        </is>
      </c>
    </row>
    <row r="307">
      <c r="A307" s="84" t="n">
        <v>31015361</v>
      </c>
      <c r="B307" s="67" t="inlineStr">
        <is>
          <t>TPSU</t>
        </is>
      </c>
      <c r="C307" s="90" t="inlineStr">
        <is>
          <t>L001</t>
        </is>
      </c>
      <c r="D307" s="84" t="n">
        <v>1050401</v>
      </c>
      <c r="E307" s="80" t="inlineStr">
        <is>
          <t>BROCHA 1" NYLON</t>
        </is>
      </c>
      <c r="F307" s="67" t="inlineStr">
        <is>
          <t>UN</t>
        </is>
      </c>
      <c r="G307" s="84" t="n">
        <v>6</v>
      </c>
      <c r="H307" s="57" t="inlineStr"/>
      <c r="I307" s="139" t="n">
        <v>16.68</v>
      </c>
      <c r="J307" s="140" t="n">
        <v>2.78</v>
      </c>
      <c r="K307" s="86" t="inlineStr">
        <is>
          <t>PEN</t>
        </is>
      </c>
    </row>
    <row r="308">
      <c r="A308" s="84" t="n">
        <v>31015362</v>
      </c>
      <c r="B308" s="67" t="inlineStr">
        <is>
          <t>TPSU</t>
        </is>
      </c>
      <c r="C308" s="90" t="inlineStr">
        <is>
          <t>L001</t>
        </is>
      </c>
      <c r="D308" s="84" t="n">
        <v>1050401</v>
      </c>
      <c r="E308" s="80" t="inlineStr">
        <is>
          <t>BROCHA 1/2" NYLON</t>
        </is>
      </c>
      <c r="F308" s="67" t="inlineStr">
        <is>
          <t>UN</t>
        </is>
      </c>
      <c r="G308" s="84" t="n">
        <v>1</v>
      </c>
      <c r="H308" s="57" t="inlineStr"/>
      <c r="I308" s="139" t="n">
        <v>2.4</v>
      </c>
      <c r="J308" s="140" t="n">
        <v>2.4</v>
      </c>
      <c r="K308" s="86" t="inlineStr">
        <is>
          <t>PEN</t>
        </is>
      </c>
    </row>
    <row r="309">
      <c r="A309" s="84" t="n">
        <v>31015363</v>
      </c>
      <c r="B309" s="67" t="inlineStr">
        <is>
          <t>TPSU</t>
        </is>
      </c>
      <c r="C309" s="90" t="inlineStr">
        <is>
          <t>L001</t>
        </is>
      </c>
      <c r="D309" s="84" t="n">
        <v>1050401</v>
      </c>
      <c r="E309" s="80" t="inlineStr">
        <is>
          <t>BROCHA 2" NYLON</t>
        </is>
      </c>
      <c r="F309" s="67" t="inlineStr">
        <is>
          <t>UN</t>
        </is>
      </c>
      <c r="G309" s="84" t="n">
        <v>26</v>
      </c>
      <c r="H309" s="57" t="inlineStr"/>
      <c r="I309" s="139" t="n">
        <v>257.02</v>
      </c>
      <c r="J309" s="140" t="n">
        <v>9.885384615384615</v>
      </c>
      <c r="K309" s="86" t="inlineStr">
        <is>
          <t>PEN</t>
        </is>
      </c>
    </row>
    <row r="310">
      <c r="A310" s="84" t="n">
        <v>31015543</v>
      </c>
      <c r="B310" s="67" t="inlineStr">
        <is>
          <t>TPSU</t>
        </is>
      </c>
      <c r="C310" s="90" t="inlineStr">
        <is>
          <t>L001</t>
        </is>
      </c>
      <c r="D310" s="84" t="n">
        <v>1050402</v>
      </c>
      <c r="E310" s="80" t="inlineStr">
        <is>
          <t>BROCHA 3" NYLON</t>
        </is>
      </c>
      <c r="F310" s="67" t="inlineStr">
        <is>
          <t>UN</t>
        </is>
      </c>
      <c r="G310" s="84" t="n">
        <v>6</v>
      </c>
      <c r="H310" s="57" t="inlineStr"/>
      <c r="I310" s="139" t="n">
        <v>108.16</v>
      </c>
      <c r="J310" s="140" t="n">
        <v>18.02666666666667</v>
      </c>
      <c r="K310" s="86" t="inlineStr">
        <is>
          <t>PEN</t>
        </is>
      </c>
    </row>
    <row r="311">
      <c r="A311" s="84" t="n">
        <v>31015544</v>
      </c>
      <c r="B311" s="67" t="inlineStr">
        <is>
          <t>TPSU</t>
        </is>
      </c>
      <c r="C311" s="90" t="inlineStr">
        <is>
          <t>L001</t>
        </is>
      </c>
      <c r="D311" s="84" t="n">
        <v>1050402</v>
      </c>
      <c r="E311" s="80" t="inlineStr">
        <is>
          <t>BROCHA 4" NYLON</t>
        </is>
      </c>
      <c r="F311" s="67" t="inlineStr">
        <is>
          <t>UN</t>
        </is>
      </c>
      <c r="G311" s="84" t="n">
        <v>7</v>
      </c>
      <c r="H311" s="57" t="inlineStr"/>
      <c r="I311" s="139" t="n">
        <v>188.91</v>
      </c>
      <c r="J311" s="140" t="n">
        <v>26.98714285714286</v>
      </c>
      <c r="K311" s="86" t="inlineStr">
        <is>
          <t>PEN</t>
        </is>
      </c>
    </row>
    <row r="312">
      <c r="A312" s="84" t="n">
        <v>32006489</v>
      </c>
      <c r="B312" s="67" t="inlineStr">
        <is>
          <t>TPSU</t>
        </is>
      </c>
      <c r="C312" s="90" t="inlineStr">
        <is>
          <t>L001</t>
        </is>
      </c>
      <c r="D312" s="84" t="n">
        <v>1050405</v>
      </c>
      <c r="E312" s="80" t="inlineStr">
        <is>
          <t>CAMPO ESTERIL SIN FENESTRADO</t>
        </is>
      </c>
      <c r="F312" s="67" t="inlineStr">
        <is>
          <t>UN</t>
        </is>
      </c>
      <c r="G312" s="84" t="n">
        <v>700</v>
      </c>
      <c r="H312" s="57" t="inlineStr"/>
      <c r="I312" s="139" t="n">
        <v>1957.61</v>
      </c>
      <c r="J312" s="140" t="n">
        <v>2.796585714285714</v>
      </c>
      <c r="K312" s="86" t="inlineStr">
        <is>
          <t>PEN</t>
        </is>
      </c>
    </row>
    <row r="313">
      <c r="A313" s="84" t="n">
        <v>31015353</v>
      </c>
      <c r="B313" s="67" t="inlineStr">
        <is>
          <t>TPSU</t>
        </is>
      </c>
      <c r="C313" s="90" t="inlineStr">
        <is>
          <t>L001</t>
        </is>
      </c>
      <c r="D313" s="84" t="n">
        <v>1050405</v>
      </c>
      <c r="E313" s="80" t="inlineStr">
        <is>
          <t>RODILLO 9" P/PINTAR</t>
        </is>
      </c>
      <c r="F313" s="67" t="inlineStr">
        <is>
          <t>UN</t>
        </is>
      </c>
      <c r="G313" s="84" t="n">
        <v>15</v>
      </c>
      <c r="H313" s="57" t="inlineStr"/>
      <c r="I313" s="139" t="n">
        <v>200.09</v>
      </c>
      <c r="J313" s="140" t="n">
        <v>13.33933333333333</v>
      </c>
      <c r="K313" s="86" t="inlineStr">
        <is>
          <t>PEN</t>
        </is>
      </c>
    </row>
    <row r="314">
      <c r="A314" s="84" t="n">
        <v>32004601</v>
      </c>
      <c r="B314" s="67" t="inlineStr">
        <is>
          <t>TPSU</t>
        </is>
      </c>
      <c r="C314" s="90" t="inlineStr">
        <is>
          <t>L001</t>
        </is>
      </c>
      <c r="D314" s="84" t="n">
        <v>1050501</v>
      </c>
      <c r="E314" s="80" t="inlineStr">
        <is>
          <t>LUNA POLIC BLANCA RECTANG P/MASC 2"X4.25</t>
        </is>
      </c>
      <c r="F314" s="67" t="inlineStr">
        <is>
          <t>UN</t>
        </is>
      </c>
      <c r="G314" s="84" t="n">
        <v>28</v>
      </c>
      <c r="H314" s="57" t="inlineStr"/>
      <c r="I314" s="139" t="n">
        <v>32.27</v>
      </c>
      <c r="J314" s="140" t="n">
        <v>1.1525</v>
      </c>
      <c r="K314" s="86" t="inlineStr">
        <is>
          <t>PEN</t>
        </is>
      </c>
    </row>
    <row r="315">
      <c r="A315" s="84" t="n">
        <v>32004602</v>
      </c>
      <c r="B315" s="67" t="inlineStr">
        <is>
          <t>TPSU</t>
        </is>
      </c>
      <c r="C315" s="90" t="inlineStr">
        <is>
          <t>L001</t>
        </is>
      </c>
      <c r="D315" s="84" t="n">
        <v>1050501</v>
      </c>
      <c r="E315" s="80" t="inlineStr">
        <is>
          <t>LUNA POLIC NEGRA RECTANG P/MASC N°12</t>
        </is>
      </c>
      <c r="F315" s="67" t="inlineStr">
        <is>
          <t>UN</t>
        </is>
      </c>
      <c r="G315" s="84" t="n">
        <v>7</v>
      </c>
      <c r="H315" s="57" t="inlineStr"/>
      <c r="I315" s="139" t="n">
        <v>45.25</v>
      </c>
      <c r="J315" s="140" t="n">
        <v>6.464285714285714</v>
      </c>
      <c r="K315" s="86" t="inlineStr">
        <is>
          <t>PEN</t>
        </is>
      </c>
    </row>
    <row r="316">
      <c r="A316" s="84" t="n">
        <v>31015284</v>
      </c>
      <c r="B316" s="67" t="inlineStr">
        <is>
          <t>TPSU</t>
        </is>
      </c>
      <c r="C316" s="90" t="inlineStr">
        <is>
          <t>L001</t>
        </is>
      </c>
      <c r="D316" s="84" t="n">
        <v>1050502</v>
      </c>
      <c r="E316" s="80" t="inlineStr">
        <is>
          <t>PRISIONERO ALLEN 1/2" X 1" FEN.</t>
        </is>
      </c>
      <c r="F316" s="67" t="inlineStr">
        <is>
          <t>UN</t>
        </is>
      </c>
      <c r="G316" s="84" t="n">
        <v>3</v>
      </c>
      <c r="H316" s="57" t="inlineStr"/>
      <c r="I316" s="139" t="n">
        <v>1.93</v>
      </c>
      <c r="J316" s="140" t="n">
        <v>0.6433333333333333</v>
      </c>
      <c r="K316" s="86" t="inlineStr">
        <is>
          <t>PEN</t>
        </is>
      </c>
    </row>
    <row r="317">
      <c r="A317" s="84" t="n">
        <v>31015286</v>
      </c>
      <c r="B317" s="67" t="inlineStr">
        <is>
          <t>TPSU</t>
        </is>
      </c>
      <c r="C317" s="90" t="inlineStr">
        <is>
          <t>L001</t>
        </is>
      </c>
      <c r="D317" s="84" t="n">
        <v>1050502</v>
      </c>
      <c r="E317" s="80" t="inlineStr">
        <is>
          <t>PRISIONERO ALLEN 1/2" X 1/2" FEN.</t>
        </is>
      </c>
      <c r="F317" s="67" t="inlineStr">
        <is>
          <t>UN</t>
        </is>
      </c>
      <c r="G317" s="84" t="n">
        <v>6</v>
      </c>
      <c r="H317" s="57" t="inlineStr"/>
      <c r="I317" s="139" t="n">
        <v>2.1</v>
      </c>
      <c r="J317" s="140" t="n">
        <v>0.35</v>
      </c>
      <c r="K317" s="86" t="inlineStr">
        <is>
          <t>PEN</t>
        </is>
      </c>
    </row>
    <row r="318">
      <c r="A318" s="84" t="n">
        <v>31013501</v>
      </c>
      <c r="B318" s="67" t="inlineStr">
        <is>
          <t>TPSU</t>
        </is>
      </c>
      <c r="C318" s="90" t="inlineStr">
        <is>
          <t>L001</t>
        </is>
      </c>
      <c r="D318" s="84" t="n">
        <v>1050502</v>
      </c>
      <c r="E318" s="80" t="inlineStr">
        <is>
          <t>PRISIONERO ALLEN 1/2" X 3/4" FE.NE</t>
        </is>
      </c>
      <c r="F318" s="67" t="inlineStr">
        <is>
          <t>UN</t>
        </is>
      </c>
      <c r="G318" s="84" t="n">
        <v>20</v>
      </c>
      <c r="H318" s="57" t="inlineStr"/>
      <c r="I318" s="139" t="n">
        <v>9.800000000000001</v>
      </c>
      <c r="J318" s="140" t="n">
        <v>0.49</v>
      </c>
      <c r="K318" s="86" t="inlineStr">
        <is>
          <t>PEN</t>
        </is>
      </c>
    </row>
    <row r="319">
      <c r="A319" s="84" t="n">
        <v>31013525</v>
      </c>
      <c r="B319" s="67" t="inlineStr">
        <is>
          <t>TPSU</t>
        </is>
      </c>
      <c r="C319" s="90" t="inlineStr">
        <is>
          <t>L001</t>
        </is>
      </c>
      <c r="D319" s="84" t="n">
        <v>1050503</v>
      </c>
      <c r="E319" s="80" t="inlineStr">
        <is>
          <t>PRISIONERO ALLEN 3/8" X 1/2" FEN.</t>
        </is>
      </c>
      <c r="F319" s="67" t="inlineStr">
        <is>
          <t>UN</t>
        </is>
      </c>
      <c r="G319" s="84" t="n">
        <v>24</v>
      </c>
      <c r="H319" s="57" t="inlineStr"/>
      <c r="I319" s="139" t="n">
        <v>2.46</v>
      </c>
      <c r="J319" s="140" t="n">
        <v>0.1025</v>
      </c>
      <c r="K319" s="86" t="inlineStr">
        <is>
          <t>PEN</t>
        </is>
      </c>
    </row>
    <row r="320">
      <c r="A320" s="84" t="n">
        <v>31013528</v>
      </c>
      <c r="B320" s="67" t="inlineStr">
        <is>
          <t>TPSU</t>
        </is>
      </c>
      <c r="C320" s="90" t="inlineStr">
        <is>
          <t>L001</t>
        </is>
      </c>
      <c r="D320" s="84" t="n">
        <v>1050503</v>
      </c>
      <c r="E320" s="80" t="inlineStr">
        <is>
          <t>PRISIONERO ALLEN 3/8" X 3/4" FEN.</t>
        </is>
      </c>
      <c r="F320" s="67" t="inlineStr">
        <is>
          <t>UN</t>
        </is>
      </c>
      <c r="G320" s="84" t="n">
        <v>10</v>
      </c>
      <c r="H320" s="57" t="inlineStr"/>
      <c r="I320" s="139" t="n">
        <v>2.9</v>
      </c>
      <c r="J320" s="140" t="n">
        <v>0.29</v>
      </c>
      <c r="K320" s="86" t="inlineStr">
        <is>
          <t>PEN</t>
        </is>
      </c>
    </row>
    <row r="321">
      <c r="A321" s="84" t="n">
        <v>31013534</v>
      </c>
      <c r="B321" s="67" t="inlineStr">
        <is>
          <t>TPSU</t>
        </is>
      </c>
      <c r="C321" s="90" t="inlineStr">
        <is>
          <t>L001</t>
        </is>
      </c>
      <c r="D321" s="84" t="n">
        <v>1050503</v>
      </c>
      <c r="E321" s="80" t="inlineStr">
        <is>
          <t>PRISIONERO ALLEN 5/16" X 1/2" FEN.</t>
        </is>
      </c>
      <c r="F321" s="67" t="inlineStr">
        <is>
          <t>UN</t>
        </is>
      </c>
      <c r="G321" s="84" t="n">
        <v>5</v>
      </c>
      <c r="H321" s="57" t="inlineStr"/>
      <c r="I321" s="139" t="n">
        <v>0.75</v>
      </c>
      <c r="J321" s="140" t="n">
        <v>0.15</v>
      </c>
      <c r="K321" s="86" t="inlineStr">
        <is>
          <t>PEN</t>
        </is>
      </c>
    </row>
    <row r="322">
      <c r="A322" s="84" t="n">
        <v>31011005</v>
      </c>
      <c r="B322" s="67" t="inlineStr">
        <is>
          <t>TPSU</t>
        </is>
      </c>
      <c r="C322" s="90" t="inlineStr">
        <is>
          <t>L001</t>
        </is>
      </c>
      <c r="D322" s="84" t="n">
        <v>1050504</v>
      </c>
      <c r="E322" s="80" t="inlineStr">
        <is>
          <t>IINSERTO TORNEADO TNMG 16 04 04-PM  4225</t>
        </is>
      </c>
      <c r="F322" s="67" t="inlineStr">
        <is>
          <t>UN</t>
        </is>
      </c>
      <c r="G322" s="84" t="n">
        <v>5</v>
      </c>
      <c r="H322" s="57" t="inlineStr"/>
      <c r="I322" s="139" t="n">
        <v>144.23</v>
      </c>
      <c r="J322" s="140" t="n">
        <v>28.846</v>
      </c>
      <c r="K322" s="86" t="inlineStr">
        <is>
          <t>PEN</t>
        </is>
      </c>
    </row>
    <row r="323">
      <c r="A323" s="84" t="n">
        <v>31011020</v>
      </c>
      <c r="B323" s="67" t="inlineStr">
        <is>
          <t>TPSU</t>
        </is>
      </c>
      <c r="C323" s="90" t="inlineStr">
        <is>
          <t>L001</t>
        </is>
      </c>
      <c r="D323" s="84" t="n">
        <v>1050504</v>
      </c>
      <c r="E323" s="80" t="inlineStr">
        <is>
          <t>INSERTO TORNEADO TCMT 11 03 04-PM  4225</t>
        </is>
      </c>
      <c r="F323" s="67" t="inlineStr">
        <is>
          <t>UN</t>
        </is>
      </c>
      <c r="G323" s="84" t="n">
        <v>5</v>
      </c>
      <c r="H323" s="57" t="inlineStr"/>
      <c r="I323" s="139" t="n">
        <v>106.27</v>
      </c>
      <c r="J323" s="140" t="n">
        <v>21.254</v>
      </c>
      <c r="K323" s="86" t="inlineStr">
        <is>
          <t>PEN</t>
        </is>
      </c>
    </row>
    <row r="324">
      <c r="A324" s="84" t="n">
        <v>31015307</v>
      </c>
      <c r="B324" s="67" t="inlineStr">
        <is>
          <t>TPSU</t>
        </is>
      </c>
      <c r="C324" s="90" t="inlineStr">
        <is>
          <t>L001</t>
        </is>
      </c>
      <c r="D324" s="84" t="n">
        <v>1050504</v>
      </c>
      <c r="E324" s="80" t="inlineStr">
        <is>
          <t>STOVE BOLT 1/4" X 1" GALV.</t>
        </is>
      </c>
      <c r="F324" s="67" t="inlineStr">
        <is>
          <t>UN</t>
        </is>
      </c>
      <c r="G324" s="84" t="n">
        <v>61</v>
      </c>
      <c r="H324" s="57" t="inlineStr"/>
      <c r="I324" s="139" t="n">
        <v>11.59</v>
      </c>
      <c r="J324" s="140" t="n">
        <v>0.19</v>
      </c>
      <c r="K324" s="86" t="inlineStr">
        <is>
          <t>PEN</t>
        </is>
      </c>
    </row>
    <row r="325">
      <c r="A325" s="84" t="n">
        <v>33029946</v>
      </c>
      <c r="B325" s="67" t="inlineStr">
        <is>
          <t>TPSU</t>
        </is>
      </c>
      <c r="C325" s="90" t="inlineStr">
        <is>
          <t>L001</t>
        </is>
      </c>
      <c r="D325" s="84" t="n">
        <v>1050602</v>
      </c>
      <c r="E325" s="80" t="inlineStr">
        <is>
          <t>ANILLO SEEGER 100 MM EXT.</t>
        </is>
      </c>
      <c r="F325" s="67" t="inlineStr">
        <is>
          <t>UN</t>
        </is>
      </c>
      <c r="G325" s="84" t="n">
        <v>1</v>
      </c>
      <c r="H325" s="57" t="inlineStr"/>
      <c r="I325" s="139" t="n">
        <v>5.67</v>
      </c>
      <c r="J325" s="140" t="n">
        <v>5.67</v>
      </c>
      <c r="K325" s="86" t="inlineStr">
        <is>
          <t>PEN</t>
        </is>
      </c>
    </row>
    <row r="326">
      <c r="A326" s="84" t="n">
        <v>31014316</v>
      </c>
      <c r="B326" s="67" t="inlineStr">
        <is>
          <t>TPSU</t>
        </is>
      </c>
      <c r="C326" s="90" t="inlineStr">
        <is>
          <t>L001</t>
        </is>
      </c>
      <c r="D326" s="84" t="n">
        <v>1050602</v>
      </c>
      <c r="E326" s="80" t="inlineStr">
        <is>
          <t>TOBERA PMX  85  - 220816</t>
        </is>
      </c>
      <c r="F326" s="67" t="inlineStr">
        <is>
          <t>UN</t>
        </is>
      </c>
      <c r="G326" s="84" t="n">
        <v>1</v>
      </c>
      <c r="H326" s="57" t="inlineStr"/>
      <c r="I326" s="139" t="n">
        <v>17</v>
      </c>
      <c r="J326" s="140" t="n">
        <v>17</v>
      </c>
      <c r="K326" s="86" t="inlineStr">
        <is>
          <t>PEN</t>
        </is>
      </c>
    </row>
    <row r="327">
      <c r="A327" s="84" t="n">
        <v>31014400</v>
      </c>
      <c r="B327" s="67" t="inlineStr">
        <is>
          <t>TPSU</t>
        </is>
      </c>
      <c r="C327" s="90" t="inlineStr">
        <is>
          <t>L001</t>
        </is>
      </c>
      <c r="D327" s="84" t="n">
        <v>1050606</v>
      </c>
      <c r="E327" s="80" t="inlineStr">
        <is>
          <t>TUBERIA 2.1/2"X1.10MT FLEX.C/BR INOX.</t>
        </is>
      </c>
      <c r="F327" s="67" t="inlineStr">
        <is>
          <t>M</t>
        </is>
      </c>
      <c r="G327" s="84" t="n">
        <v>1.1</v>
      </c>
      <c r="H327" s="57" t="inlineStr"/>
      <c r="I327" s="139" t="n">
        <v>834.09</v>
      </c>
      <c r="J327" s="140" t="n">
        <v>758.2636363636364</v>
      </c>
      <c r="K327" s="86" t="inlineStr">
        <is>
          <t>PEN</t>
        </is>
      </c>
    </row>
    <row r="328">
      <c r="A328" s="84" t="n">
        <v>31008148</v>
      </c>
      <c r="B328" s="67" t="inlineStr">
        <is>
          <t>TPSU</t>
        </is>
      </c>
      <c r="C328" s="90" t="inlineStr">
        <is>
          <t>L001</t>
        </is>
      </c>
      <c r="D328" s="84" t="n">
        <v>1050701</v>
      </c>
      <c r="E328" s="80" t="inlineStr">
        <is>
          <t>ABRAZADERA REGULABLE 1.1/2'' FEG.</t>
        </is>
      </c>
      <c r="F328" s="67" t="inlineStr">
        <is>
          <t>UN</t>
        </is>
      </c>
      <c r="G328" s="84" t="n">
        <v>14</v>
      </c>
      <c r="H328" s="57" t="inlineStr"/>
      <c r="I328" s="139" t="n">
        <v>18.86</v>
      </c>
      <c r="J328" s="140" t="n">
        <v>1.347142857142857</v>
      </c>
      <c r="K328" s="86" t="inlineStr">
        <is>
          <t>PEN</t>
        </is>
      </c>
    </row>
    <row r="329">
      <c r="A329" s="84" t="n">
        <v>31008158</v>
      </c>
      <c r="B329" s="67" t="inlineStr">
        <is>
          <t>TPSU</t>
        </is>
      </c>
      <c r="C329" s="90" t="inlineStr">
        <is>
          <t>L001</t>
        </is>
      </c>
      <c r="D329" s="84" t="n">
        <v>1050701</v>
      </c>
      <c r="E329" s="80" t="inlineStr">
        <is>
          <t>ABRAZADERA REGULABLE 1'' INOX.</t>
        </is>
      </c>
      <c r="F329" s="67" t="inlineStr">
        <is>
          <t>UN</t>
        </is>
      </c>
      <c r="G329" s="84" t="n">
        <v>18</v>
      </c>
      <c r="H329" s="57" t="inlineStr"/>
      <c r="I329" s="139" t="n">
        <v>59.68</v>
      </c>
      <c r="J329" s="140" t="n">
        <v>3.315555555555556</v>
      </c>
      <c r="K329" s="86" t="inlineStr">
        <is>
          <t>PEN</t>
        </is>
      </c>
    </row>
    <row r="330">
      <c r="A330" s="84" t="n">
        <v>31015473</v>
      </c>
      <c r="B330" s="67" t="inlineStr">
        <is>
          <t>TPSU</t>
        </is>
      </c>
      <c r="C330" s="90" t="inlineStr">
        <is>
          <t>L001</t>
        </is>
      </c>
      <c r="D330" s="84" t="n">
        <v>1050702</v>
      </c>
      <c r="E330" s="80" t="inlineStr">
        <is>
          <t>ABRAZADERA REGULABLE 2'' GALV.</t>
        </is>
      </c>
      <c r="F330" s="67" t="inlineStr">
        <is>
          <t>UN</t>
        </is>
      </c>
      <c r="G330" s="84" t="n">
        <v>2</v>
      </c>
      <c r="H330" s="57" t="inlineStr"/>
      <c r="I330" s="139" t="n">
        <v>3.5</v>
      </c>
      <c r="J330" s="140" t="n">
        <v>1.75</v>
      </c>
      <c r="K330" s="86" t="inlineStr">
        <is>
          <t>PEN</t>
        </is>
      </c>
    </row>
    <row r="331">
      <c r="A331" s="84" t="n">
        <v>31008162</v>
      </c>
      <c r="B331" s="67" t="inlineStr">
        <is>
          <t>TPSU</t>
        </is>
      </c>
      <c r="C331" s="90" t="inlineStr">
        <is>
          <t>L001</t>
        </is>
      </c>
      <c r="D331" s="84" t="n">
        <v>1050702</v>
      </c>
      <c r="E331" s="80" t="inlineStr">
        <is>
          <t>ABRAZADERA REGULABLE 2'' INOX.</t>
        </is>
      </c>
      <c r="F331" s="67" t="inlineStr">
        <is>
          <t>UN</t>
        </is>
      </c>
      <c r="G331" s="84" t="n">
        <v>20</v>
      </c>
      <c r="H331" s="57" t="inlineStr"/>
      <c r="I331" s="139" t="n">
        <v>63.98</v>
      </c>
      <c r="J331" s="140" t="n">
        <v>3.199</v>
      </c>
      <c r="K331" s="86" t="inlineStr">
        <is>
          <t>PEN</t>
        </is>
      </c>
    </row>
    <row r="332">
      <c r="A332" s="84" t="n">
        <v>31008164</v>
      </c>
      <c r="B332" s="67" t="inlineStr">
        <is>
          <t>TPSU</t>
        </is>
      </c>
      <c r="C332" s="90" t="inlineStr">
        <is>
          <t>L001</t>
        </is>
      </c>
      <c r="D332" s="84" t="n">
        <v>1050703</v>
      </c>
      <c r="E332" s="80" t="inlineStr">
        <is>
          <t>ABRAZADERA REGULABLE 3'' INOX.</t>
        </is>
      </c>
      <c r="F332" s="67" t="inlineStr">
        <is>
          <t>UN</t>
        </is>
      </c>
      <c r="G332" s="84" t="n">
        <v>5</v>
      </c>
      <c r="H332" s="57" t="inlineStr"/>
      <c r="I332" s="139" t="n">
        <v>19.09</v>
      </c>
      <c r="J332" s="140" t="n">
        <v>3.818</v>
      </c>
      <c r="K332" s="86" t="inlineStr">
        <is>
          <t>PEN</t>
        </is>
      </c>
    </row>
    <row r="333">
      <c r="A333" s="84" t="n">
        <v>31008135</v>
      </c>
      <c r="B333" s="67" t="inlineStr">
        <is>
          <t>TPSU</t>
        </is>
      </c>
      <c r="C333" s="90" t="inlineStr">
        <is>
          <t>L001</t>
        </is>
      </c>
      <c r="D333" s="84" t="n">
        <v>1050704</v>
      </c>
      <c r="E333" s="80" t="inlineStr">
        <is>
          <t>ABRAZ. PERNO INDUST. 4'' T-517</t>
        </is>
      </c>
      <c r="F333" s="67" t="inlineStr">
        <is>
          <t>UN</t>
        </is>
      </c>
      <c r="G333" s="84" t="n">
        <v>5</v>
      </c>
      <c r="H333" s="57" t="inlineStr"/>
      <c r="I333" s="139" t="n">
        <v>43</v>
      </c>
      <c r="J333" s="140" t="n">
        <v>8.6</v>
      </c>
      <c r="K333" s="86" t="inlineStr">
        <is>
          <t>PEN</t>
        </is>
      </c>
    </row>
    <row r="334">
      <c r="A334" s="84" t="n">
        <v>31008153</v>
      </c>
      <c r="B334" s="67" t="inlineStr">
        <is>
          <t>TPSU</t>
        </is>
      </c>
      <c r="C334" s="90" t="inlineStr">
        <is>
          <t>L001</t>
        </is>
      </c>
      <c r="D334" s="84" t="n">
        <v>1050704</v>
      </c>
      <c r="E334" s="80" t="inlineStr">
        <is>
          <t>ABRAZADERA REGULABLE 4'' FEG.</t>
        </is>
      </c>
      <c r="F334" s="67" t="inlineStr">
        <is>
          <t>UN</t>
        </is>
      </c>
      <c r="G334" s="84" t="n">
        <v>6</v>
      </c>
      <c r="H334" s="57" t="inlineStr"/>
      <c r="I334" s="139" t="n">
        <v>16.67</v>
      </c>
      <c r="J334" s="140" t="n">
        <v>2.778333333333334</v>
      </c>
      <c r="K334" s="86" t="inlineStr">
        <is>
          <t>PEN</t>
        </is>
      </c>
    </row>
    <row r="335">
      <c r="A335" s="84" t="n">
        <v>31013379</v>
      </c>
      <c r="B335" s="67" t="inlineStr">
        <is>
          <t>TPSU</t>
        </is>
      </c>
      <c r="C335" s="90" t="inlineStr">
        <is>
          <t>L001</t>
        </is>
      </c>
      <c r="D335" s="84" t="n">
        <v>1050705</v>
      </c>
      <c r="E335" s="80" t="inlineStr">
        <is>
          <t>PLATINA 1/2"X4"X1600MM POLIETILENO UH</t>
        </is>
      </c>
      <c r="F335" s="67" t="inlineStr">
        <is>
          <t>M</t>
        </is>
      </c>
      <c r="G335" s="84" t="n">
        <v>4.8</v>
      </c>
      <c r="H335" s="57" t="inlineStr"/>
      <c r="I335" s="139" t="n">
        <v>865.52</v>
      </c>
      <c r="J335" s="140" t="n">
        <v>180.3166666666667</v>
      </c>
      <c r="K335" s="86" t="inlineStr">
        <is>
          <t>PEN</t>
        </is>
      </c>
    </row>
    <row r="336">
      <c r="A336" s="84" t="n">
        <v>32005599</v>
      </c>
      <c r="B336" s="67" t="inlineStr">
        <is>
          <t>TPSU</t>
        </is>
      </c>
      <c r="C336" s="90" t="inlineStr">
        <is>
          <t>L001</t>
        </is>
      </c>
      <c r="D336" s="84" t="n">
        <v>1060101</v>
      </c>
      <c r="E336" s="80" t="inlineStr">
        <is>
          <t>MASCARA CARA COMPLETA 3M. T/M 6800</t>
        </is>
      </c>
      <c r="F336" s="67" t="inlineStr">
        <is>
          <t>UN</t>
        </is>
      </c>
      <c r="G336" s="84" t="n">
        <v>17</v>
      </c>
      <c r="H336" s="57" t="inlineStr"/>
      <c r="I336" s="139" t="n">
        <v>9341.93</v>
      </c>
      <c r="J336" s="140" t="n">
        <v>549.525294117647</v>
      </c>
      <c r="K336" s="86" t="inlineStr">
        <is>
          <t>PEN</t>
        </is>
      </c>
    </row>
    <row r="337">
      <c r="A337" s="84" t="n">
        <v>32005602</v>
      </c>
      <c r="B337" s="67" t="inlineStr">
        <is>
          <t>TPSU</t>
        </is>
      </c>
      <c r="C337" s="90" t="inlineStr">
        <is>
          <t>L001</t>
        </is>
      </c>
      <c r="D337" s="84" t="n">
        <v>1060102</v>
      </c>
      <c r="E337" s="80" t="inlineStr">
        <is>
          <t>RESPIRADOR MEDIA CARA REUSABLE 3M T-S</t>
        </is>
      </c>
      <c r="F337" s="67" t="inlineStr">
        <is>
          <t>UN</t>
        </is>
      </c>
      <c r="G337" s="84" t="n">
        <v>8</v>
      </c>
      <c r="H337" s="57" t="inlineStr"/>
      <c r="I337" s="139" t="n">
        <v>528.4400000000001</v>
      </c>
      <c r="J337" s="140" t="n">
        <v>66.05500000000001</v>
      </c>
      <c r="K337" s="86" t="inlineStr">
        <is>
          <t>PEN</t>
        </is>
      </c>
    </row>
    <row r="338">
      <c r="A338" s="84" t="n">
        <v>32004351</v>
      </c>
      <c r="B338" s="67" t="inlineStr">
        <is>
          <t>TPSU</t>
        </is>
      </c>
      <c r="C338" s="90" t="inlineStr">
        <is>
          <t>L001</t>
        </is>
      </c>
      <c r="D338" s="84" t="n">
        <v>1060103</v>
      </c>
      <c r="E338" s="80" t="inlineStr">
        <is>
          <t>GORRO DE CHEF COLOR NEGRO CON LOGO TASA</t>
        </is>
      </c>
      <c r="F338" s="67" t="inlineStr">
        <is>
          <t>UN</t>
        </is>
      </c>
      <c r="G338" s="84" t="n">
        <v>3</v>
      </c>
      <c r="H338" s="57" t="inlineStr"/>
      <c r="I338" s="139" t="n">
        <v>33</v>
      </c>
      <c r="J338" s="140" t="n">
        <v>11</v>
      </c>
      <c r="K338" s="86" t="inlineStr">
        <is>
          <t>PEN</t>
        </is>
      </c>
    </row>
    <row r="339">
      <c r="A339" s="84" t="n">
        <v>32005321</v>
      </c>
      <c r="B339" s="67" t="inlineStr">
        <is>
          <t>TPSU</t>
        </is>
      </c>
      <c r="C339" s="90" t="inlineStr">
        <is>
          <t>L001</t>
        </is>
      </c>
      <c r="D339" s="84" t="n">
        <v>1060103</v>
      </c>
      <c r="E339" s="80" t="inlineStr">
        <is>
          <t>TOCA DESCARTABLE BLANCA P/CABELLO</t>
        </is>
      </c>
      <c r="F339" s="67" t="inlineStr">
        <is>
          <t>UN</t>
        </is>
      </c>
      <c r="G339" s="84" t="n">
        <v>1</v>
      </c>
      <c r="H339" s="57" t="inlineStr">
        <is>
          <t>4112922347</t>
        </is>
      </c>
      <c r="I339" s="139" t="n">
        <v>0.15</v>
      </c>
      <c r="J339" s="140" t="n">
        <v>0.15</v>
      </c>
      <c r="K339" s="86" t="inlineStr">
        <is>
          <t>PEN</t>
        </is>
      </c>
    </row>
    <row r="340">
      <c r="A340" s="84" t="n">
        <v>32005595</v>
      </c>
      <c r="B340" s="67" t="inlineStr">
        <is>
          <t>TPSU</t>
        </is>
      </c>
      <c r="C340" s="90" t="inlineStr">
        <is>
          <t>L001</t>
        </is>
      </c>
      <c r="D340" s="84" t="n">
        <v>1060104</v>
      </c>
      <c r="E340" s="141" t="inlineStr">
        <is>
          <t>ESCARPIN CUERO P/SOLDAR STD</t>
        </is>
      </c>
      <c r="F340" s="67" t="inlineStr">
        <is>
          <t>PAR</t>
        </is>
      </c>
      <c r="G340" s="84" t="n">
        <v>4</v>
      </c>
      <c r="H340" s="57" t="inlineStr"/>
      <c r="I340" s="139" t="n">
        <v>62.62</v>
      </c>
      <c r="J340" s="140" t="n">
        <v>15.655</v>
      </c>
      <c r="K340" s="86" t="inlineStr">
        <is>
          <t>PEN</t>
        </is>
      </c>
    </row>
    <row r="341">
      <c r="A341" s="84" t="n">
        <v>32004656</v>
      </c>
      <c r="B341" s="67" t="inlineStr">
        <is>
          <t>TPSU</t>
        </is>
      </c>
      <c r="C341" s="90" t="inlineStr">
        <is>
          <t>L001</t>
        </is>
      </c>
      <c r="D341" s="84" t="n">
        <v>1060104</v>
      </c>
      <c r="E341" s="80" t="inlineStr">
        <is>
          <t>MANDIL CUERO P/SOLDAR STD</t>
        </is>
      </c>
      <c r="F341" s="67" t="inlineStr">
        <is>
          <t>UN</t>
        </is>
      </c>
      <c r="G341" s="84" t="n">
        <v>6</v>
      </c>
      <c r="H341" s="57" t="inlineStr"/>
      <c r="I341" s="139" t="n">
        <v>181.97</v>
      </c>
      <c r="J341" s="140" t="n">
        <v>30.32833333333333</v>
      </c>
      <c r="K341" s="86" t="inlineStr">
        <is>
          <t>PEN</t>
        </is>
      </c>
    </row>
    <row r="342">
      <c r="A342" s="84" t="n">
        <v>32004706</v>
      </c>
      <c r="B342" s="67" t="inlineStr">
        <is>
          <t>TPSU</t>
        </is>
      </c>
      <c r="C342" s="90" t="inlineStr">
        <is>
          <t>L001</t>
        </is>
      </c>
      <c r="D342" s="84" t="n">
        <v>1060105</v>
      </c>
      <c r="E342" s="80" t="inlineStr">
        <is>
          <t>MICA CASCO ARENADOR 16-7/8X5.3/4X0.0075</t>
        </is>
      </c>
      <c r="F342" s="67" t="inlineStr">
        <is>
          <t>UN</t>
        </is>
      </c>
      <c r="G342" s="84" t="n">
        <v>75</v>
      </c>
      <c r="H342" s="57" t="inlineStr"/>
      <c r="I342" s="139" t="n">
        <v>239.09</v>
      </c>
      <c r="J342" s="140" t="n">
        <v>3.187866666666667</v>
      </c>
      <c r="K342" s="86" t="inlineStr">
        <is>
          <t>PEN</t>
        </is>
      </c>
    </row>
    <row r="343">
      <c r="A343" s="84" t="n">
        <v>32003841</v>
      </c>
      <c r="B343" s="67" t="inlineStr">
        <is>
          <t>TPSU</t>
        </is>
      </c>
      <c r="C343" s="90" t="inlineStr">
        <is>
          <t>L001</t>
        </is>
      </c>
      <c r="D343" s="84" t="n">
        <v>1060106</v>
      </c>
      <c r="E343" s="80" t="inlineStr">
        <is>
          <t>CAPUCHA NOMEX P/SOLDAR STD</t>
        </is>
      </c>
      <c r="F343" s="67" t="inlineStr">
        <is>
          <t>UN</t>
        </is>
      </c>
      <c r="G343" s="84" t="n">
        <v>2</v>
      </c>
      <c r="H343" s="57" t="inlineStr"/>
      <c r="I343" s="139" t="n">
        <v>209.9</v>
      </c>
      <c r="J343" s="140" t="n">
        <v>104.95</v>
      </c>
      <c r="K343" s="86" t="inlineStr">
        <is>
          <t>PEN</t>
        </is>
      </c>
    </row>
    <row r="344">
      <c r="A344" s="84" t="n">
        <v>32003842</v>
      </c>
      <c r="B344" s="67" t="inlineStr">
        <is>
          <t>TPSU</t>
        </is>
      </c>
      <c r="C344" s="90" t="inlineStr">
        <is>
          <t>L001</t>
        </is>
      </c>
      <c r="D344" s="84" t="n">
        <v>1060106</v>
      </c>
      <c r="E344" s="80" t="inlineStr">
        <is>
          <t>CAPUCHA O BALACLAVA RIESGO ELECTRICO</t>
        </is>
      </c>
      <c r="F344" s="67" t="inlineStr">
        <is>
          <t>UN</t>
        </is>
      </c>
      <c r="G344" s="84" t="n">
        <v>1</v>
      </c>
      <c r="H344" s="57" t="inlineStr"/>
      <c r="I344" s="139" t="n">
        <v>239.82</v>
      </c>
      <c r="J344" s="140" t="n">
        <v>239.82</v>
      </c>
      <c r="K344" s="86" t="inlineStr">
        <is>
          <t>PEN</t>
        </is>
      </c>
    </row>
    <row r="345">
      <c r="A345" s="84" t="n">
        <v>32004054</v>
      </c>
      <c r="B345" s="67" t="inlineStr">
        <is>
          <t>TPSU</t>
        </is>
      </c>
      <c r="C345" s="90" t="inlineStr">
        <is>
          <t>L001</t>
        </is>
      </c>
      <c r="D345" s="84" t="n">
        <v>1060106</v>
      </c>
      <c r="E345" s="80" t="inlineStr">
        <is>
          <t>CUBRE NUCA AZUL</t>
        </is>
      </c>
      <c r="F345" s="67" t="inlineStr">
        <is>
          <t>UN</t>
        </is>
      </c>
      <c r="G345" s="84" t="n">
        <v>15</v>
      </c>
      <c r="H345" s="57" t="inlineStr"/>
      <c r="I345" s="139" t="n">
        <v>111.08</v>
      </c>
      <c r="J345" s="140" t="n">
        <v>7.405333333333333</v>
      </c>
      <c r="K345" s="86" t="inlineStr">
        <is>
          <t>PEN</t>
        </is>
      </c>
    </row>
    <row r="346">
      <c r="A346" s="84" t="n">
        <v>32004683</v>
      </c>
      <c r="B346" s="67" t="inlineStr">
        <is>
          <t>TPSU</t>
        </is>
      </c>
      <c r="C346" s="90" t="inlineStr">
        <is>
          <t>L001</t>
        </is>
      </c>
      <c r="D346" s="84" t="n">
        <v>1060201</v>
      </c>
      <c r="E346" s="80" t="inlineStr">
        <is>
          <t>MASCARILLA DESCARTABLE X 3 PLIEG X 50UND</t>
        </is>
      </c>
      <c r="F346" s="67" t="inlineStr">
        <is>
          <t>CJ</t>
        </is>
      </c>
      <c r="G346" s="84" t="n">
        <v>51</v>
      </c>
      <c r="H346" s="57" t="inlineStr">
        <is>
          <t>S201MS012E</t>
        </is>
      </c>
      <c r="I346" s="139" t="n">
        <v>376.02</v>
      </c>
      <c r="J346" s="140" t="n">
        <v>7.372941176470587</v>
      </c>
      <c r="K346" s="86" t="inlineStr">
        <is>
          <t>PEN</t>
        </is>
      </c>
    </row>
    <row r="347">
      <c r="A347" s="84" t="n">
        <v>32007101</v>
      </c>
      <c r="B347" s="67" t="inlineStr">
        <is>
          <t>TPSU</t>
        </is>
      </c>
      <c r="C347" s="90" t="inlineStr">
        <is>
          <t>L001</t>
        </is>
      </c>
      <c r="D347" s="84" t="n">
        <v>1060202</v>
      </c>
      <c r="E347" s="80" t="inlineStr">
        <is>
          <t>RESPIRADOR CTR. POLVOS/NEB. 3M 8801 FFP2</t>
        </is>
      </c>
      <c r="F347" s="67" t="inlineStr">
        <is>
          <t>UN</t>
        </is>
      </c>
      <c r="G347" s="84" t="n">
        <v>1843</v>
      </c>
      <c r="H347" s="57" t="inlineStr"/>
      <c r="I347" s="139" t="n">
        <v>5460.79</v>
      </c>
      <c r="J347" s="140" t="n">
        <v>2.96298969072165</v>
      </c>
      <c r="K347" s="86" t="inlineStr">
        <is>
          <t>PEN</t>
        </is>
      </c>
    </row>
    <row r="348">
      <c r="A348" s="84" t="n">
        <v>32005034</v>
      </c>
      <c r="B348" s="67" t="inlineStr">
        <is>
          <t>TPSU</t>
        </is>
      </c>
      <c r="C348" s="90" t="inlineStr">
        <is>
          <t>L001</t>
        </is>
      </c>
      <c r="D348" s="84" t="n">
        <v>1060203</v>
      </c>
      <c r="E348" s="80" t="inlineStr">
        <is>
          <t>RESPIRADOR PROTECCION KN95 TARUO MASK</t>
        </is>
      </c>
      <c r="F348" s="67" t="inlineStr">
        <is>
          <t>UN</t>
        </is>
      </c>
      <c r="G348" s="84" t="n">
        <v>207</v>
      </c>
      <c r="H348" s="57" t="inlineStr"/>
      <c r="I348" s="139" t="n">
        <v>3465</v>
      </c>
      <c r="J348" s="140" t="n">
        <v>16.73913043478261</v>
      </c>
      <c r="K348" s="86" t="inlineStr">
        <is>
          <t>PEN</t>
        </is>
      </c>
    </row>
    <row r="349">
      <c r="A349" s="84" t="n">
        <v>32005033</v>
      </c>
      <c r="B349" s="67" t="inlineStr">
        <is>
          <t>TPSU</t>
        </is>
      </c>
      <c r="C349" s="90" t="inlineStr">
        <is>
          <t>L001</t>
        </is>
      </c>
      <c r="D349" s="84" t="n">
        <v>1060204</v>
      </c>
      <c r="E349" s="80" t="inlineStr">
        <is>
          <t>RESPIR DESC.C/VAL.P/HU/POL N95 8212-8516</t>
        </is>
      </c>
      <c r="F349" s="67" t="inlineStr">
        <is>
          <t>UN</t>
        </is>
      </c>
      <c r="G349" s="84" t="n">
        <v>84</v>
      </c>
      <c r="H349" s="57" t="inlineStr"/>
      <c r="I349" s="139" t="n">
        <v>998.1</v>
      </c>
      <c r="J349" s="140" t="n">
        <v>11.88214285714286</v>
      </c>
      <c r="K349" s="86" t="inlineStr">
        <is>
          <t>PEN</t>
        </is>
      </c>
    </row>
    <row r="350">
      <c r="A350" s="84" t="n">
        <v>32006739</v>
      </c>
      <c r="B350" s="67" t="inlineStr">
        <is>
          <t>TPSU</t>
        </is>
      </c>
      <c r="C350" s="90" t="inlineStr">
        <is>
          <t>L001</t>
        </is>
      </c>
      <c r="D350" s="84" t="n">
        <v>1060205</v>
      </c>
      <c r="E350" s="80" t="inlineStr">
        <is>
          <t>RESPIRADOR DESCART POLVO 8511 NIOSH N95</t>
        </is>
      </c>
      <c r="F350" s="67" t="inlineStr">
        <is>
          <t>UN</t>
        </is>
      </c>
      <c r="G350" s="84" t="n">
        <v>5</v>
      </c>
      <c r="H350" s="57" t="inlineStr"/>
      <c r="I350" s="139" t="n">
        <v>49.95</v>
      </c>
      <c r="J350" s="140" t="n">
        <v>9.99</v>
      </c>
      <c r="K350" s="86" t="inlineStr">
        <is>
          <t>PEN</t>
        </is>
      </c>
    </row>
    <row r="351">
      <c r="A351" s="84" t="n">
        <v>32006878</v>
      </c>
      <c r="B351" s="67" t="inlineStr">
        <is>
          <t>TPSU</t>
        </is>
      </c>
      <c r="C351" s="90" t="inlineStr">
        <is>
          <t>L001</t>
        </is>
      </c>
      <c r="D351" s="84" t="n">
        <v>1060205</v>
      </c>
      <c r="E351" s="80" t="inlineStr">
        <is>
          <t>RESPIRADOR DESCART.POLVO 8210 CLASIF.N95</t>
        </is>
      </c>
      <c r="F351" s="67" t="inlineStr">
        <is>
          <t>UN</t>
        </is>
      </c>
      <c r="G351" s="84" t="n">
        <v>20</v>
      </c>
      <c r="H351" s="57" t="inlineStr">
        <is>
          <t>4EADBD0D96</t>
        </is>
      </c>
      <c r="I351" s="139" t="n">
        <v>89.95999999999999</v>
      </c>
      <c r="J351" s="140" t="n">
        <v>4.497999999999999</v>
      </c>
      <c r="K351" s="86" t="inlineStr">
        <is>
          <t>PEN</t>
        </is>
      </c>
    </row>
    <row r="352">
      <c r="A352" s="84" t="n">
        <v>32006878</v>
      </c>
      <c r="B352" s="67" t="inlineStr">
        <is>
          <t>TPSU</t>
        </is>
      </c>
      <c r="C352" s="90" t="inlineStr">
        <is>
          <t>L001</t>
        </is>
      </c>
      <c r="D352" s="84" t="n">
        <v>1060205</v>
      </c>
      <c r="E352" s="80" t="inlineStr">
        <is>
          <t>RESPIRADOR DESCART.POLVO 8210 CLASIF.N95</t>
        </is>
      </c>
      <c r="F352" s="67" t="inlineStr">
        <is>
          <t>UN</t>
        </is>
      </c>
      <c r="G352" s="84" t="n">
        <v>20</v>
      </c>
      <c r="H352" s="57" t="inlineStr">
        <is>
          <t>A21293</t>
        </is>
      </c>
      <c r="I352" s="139" t="n">
        <v>89.95999999999999</v>
      </c>
      <c r="J352" s="140" t="n">
        <v>4.497999999999999</v>
      </c>
      <c r="K352" s="86" t="inlineStr">
        <is>
          <t>PEN</t>
        </is>
      </c>
    </row>
    <row r="353">
      <c r="A353" s="84" t="n">
        <v>32006878</v>
      </c>
      <c r="B353" s="67" t="inlineStr">
        <is>
          <t>TPSU</t>
        </is>
      </c>
      <c r="C353" s="90" t="inlineStr">
        <is>
          <t>L001</t>
        </is>
      </c>
      <c r="D353" s="84" t="n">
        <v>1060205</v>
      </c>
      <c r="E353" s="80" t="inlineStr">
        <is>
          <t>RESPIRADOR DESCART.POLVO 8210 CLASIF.N95</t>
        </is>
      </c>
      <c r="F353" s="67" t="inlineStr">
        <is>
          <t>UN</t>
        </is>
      </c>
      <c r="G353" s="84" t="n">
        <v>19</v>
      </c>
      <c r="H353" s="57" t="inlineStr">
        <is>
          <t>NUEVO</t>
        </is>
      </c>
      <c r="I353" s="139" t="n">
        <v>85.45999999999999</v>
      </c>
      <c r="J353" s="140" t="n">
        <v>4.497894736842105</v>
      </c>
      <c r="K353" s="86" t="inlineStr">
        <is>
          <t>PEN</t>
        </is>
      </c>
    </row>
    <row r="354">
      <c r="A354" s="84" t="n">
        <v>32007347</v>
      </c>
      <c r="B354" s="67" t="inlineStr">
        <is>
          <t>TPSU</t>
        </is>
      </c>
      <c r="C354" s="90" t="inlineStr">
        <is>
          <t>L001</t>
        </is>
      </c>
      <c r="D354" s="84" t="n">
        <v>1060206</v>
      </c>
      <c r="E354" s="80" t="inlineStr">
        <is>
          <t>MASCARILLA POLIPIMA CREDITEX</t>
        </is>
      </c>
      <c r="F354" s="67" t="inlineStr">
        <is>
          <t>UN</t>
        </is>
      </c>
      <c r="G354" s="84" t="n">
        <v>6</v>
      </c>
      <c r="H354" s="57" t="inlineStr">
        <is>
          <t>G1498</t>
        </is>
      </c>
      <c r="I354" s="139" t="n">
        <v>18.6</v>
      </c>
      <c r="J354" s="140" t="n">
        <v>3.1</v>
      </c>
      <c r="K354" s="86" t="inlineStr">
        <is>
          <t>PEN</t>
        </is>
      </c>
    </row>
    <row r="355">
      <c r="A355" s="84" t="n">
        <v>32005035</v>
      </c>
      <c r="B355" s="67" t="inlineStr">
        <is>
          <t>TPSU</t>
        </is>
      </c>
      <c r="C355" s="90" t="inlineStr">
        <is>
          <t>L001</t>
        </is>
      </c>
      <c r="D355" s="84" t="n">
        <v>1060206</v>
      </c>
      <c r="E355" s="80" t="inlineStr">
        <is>
          <t>RESPIRADOR P/GAS ACIDO N95 VALV.EXH 3M</t>
        </is>
      </c>
      <c r="F355" s="67" t="inlineStr">
        <is>
          <t>UN</t>
        </is>
      </c>
      <c r="G355" s="84" t="n">
        <v>1</v>
      </c>
      <c r="H355" s="57" t="inlineStr"/>
      <c r="I355" s="139" t="n">
        <v>148.4</v>
      </c>
      <c r="J355" s="140" t="n">
        <v>148.4</v>
      </c>
      <c r="K355" s="86" t="inlineStr">
        <is>
          <t>PEN</t>
        </is>
      </c>
    </row>
    <row r="356">
      <c r="A356" s="84" t="n">
        <v>32005036</v>
      </c>
      <c r="B356" s="67" t="inlineStr">
        <is>
          <t>TPSU</t>
        </is>
      </c>
      <c r="C356" s="90" t="inlineStr">
        <is>
          <t>L001</t>
        </is>
      </c>
      <c r="D356" s="84" t="n">
        <v>1060206</v>
      </c>
      <c r="E356" s="80" t="inlineStr">
        <is>
          <t>RESPIRADOR P/VAP. ORGANICOS/HUMOS R95</t>
        </is>
      </c>
      <c r="F356" s="67" t="inlineStr">
        <is>
          <t>UN</t>
        </is>
      </c>
      <c r="G356" s="84" t="n">
        <v>38</v>
      </c>
      <c r="H356" s="57" t="inlineStr"/>
      <c r="I356" s="139" t="n">
        <v>425.32</v>
      </c>
      <c r="J356" s="140" t="n">
        <v>11.19263157894737</v>
      </c>
      <c r="K356" s="86" t="inlineStr">
        <is>
          <t>PEN</t>
        </is>
      </c>
    </row>
    <row r="357">
      <c r="A357" s="84" t="n">
        <v>32004358</v>
      </c>
      <c r="B357" s="67" t="inlineStr">
        <is>
          <t>TPSU</t>
        </is>
      </c>
      <c r="C357" s="90" t="inlineStr">
        <is>
          <t>L001</t>
        </is>
      </c>
      <c r="D357" s="84" t="n">
        <v>1060301</v>
      </c>
      <c r="E357" s="80" t="inlineStr">
        <is>
          <t>GUANTE CROMO REF. EXT. AMARILLO 10.5(L)</t>
        </is>
      </c>
      <c r="F357" s="67" t="inlineStr">
        <is>
          <t>PAR</t>
        </is>
      </c>
      <c r="G357" s="84" t="n">
        <v>31</v>
      </c>
      <c r="H357" s="57" t="inlineStr"/>
      <c r="I357" s="139" t="n">
        <v>339.59</v>
      </c>
      <c r="J357" s="140" t="n">
        <v>10.95451612903226</v>
      </c>
      <c r="K357" s="86" t="inlineStr">
        <is>
          <t>PEN</t>
        </is>
      </c>
    </row>
    <row r="358">
      <c r="A358" s="84" t="n">
        <v>32004361</v>
      </c>
      <c r="B358" s="67" t="inlineStr">
        <is>
          <t>TPSU</t>
        </is>
      </c>
      <c r="C358" s="90" t="inlineStr">
        <is>
          <t>L001</t>
        </is>
      </c>
      <c r="D358" s="84" t="n">
        <v>1060302</v>
      </c>
      <c r="E358" s="80" t="inlineStr">
        <is>
          <t>GUANTE CUERO CR REFORZ P/MANIO. 10.5(L)</t>
        </is>
      </c>
      <c r="F358" s="67" t="inlineStr">
        <is>
          <t>PAR</t>
        </is>
      </c>
      <c r="G358" s="84" t="n">
        <v>93</v>
      </c>
      <c r="H358" s="57" t="inlineStr"/>
      <c r="I358" s="139" t="n">
        <v>1473.88</v>
      </c>
      <c r="J358" s="140" t="n">
        <v>15.84817204301075</v>
      </c>
      <c r="K358" s="86" t="inlineStr">
        <is>
          <t>PEN</t>
        </is>
      </c>
    </row>
    <row r="359">
      <c r="A359" s="84" t="n">
        <v>32004362</v>
      </c>
      <c r="B359" s="67" t="inlineStr">
        <is>
          <t>TPSU</t>
        </is>
      </c>
      <c r="C359" s="90" t="inlineStr">
        <is>
          <t>L001</t>
        </is>
      </c>
      <c r="D359" s="84" t="n">
        <v>1060302</v>
      </c>
      <c r="E359" s="80" t="inlineStr">
        <is>
          <t>GUANTE CUERO CR REFORZ P/MANIO. 12.0(XL)</t>
        </is>
      </c>
      <c r="F359" s="67" t="inlineStr">
        <is>
          <t>PAR</t>
        </is>
      </c>
      <c r="G359" s="84" t="n">
        <v>1</v>
      </c>
      <c r="H359" s="57" t="inlineStr"/>
      <c r="I359" s="139" t="n">
        <v>15.85</v>
      </c>
      <c r="J359" s="140" t="n">
        <v>15.85</v>
      </c>
      <c r="K359" s="86" t="inlineStr">
        <is>
          <t>PEN</t>
        </is>
      </c>
    </row>
    <row r="360">
      <c r="A360" s="84" t="n">
        <v>32006121</v>
      </c>
      <c r="B360" s="67" t="inlineStr">
        <is>
          <t>TPSU</t>
        </is>
      </c>
      <c r="C360" s="90" t="inlineStr">
        <is>
          <t>L001</t>
        </is>
      </c>
      <c r="D360" s="84" t="n">
        <v>1060302</v>
      </c>
      <c r="E360" s="80" t="inlineStr">
        <is>
          <t>GUANTES LATEX BLANCO C-5 T-M MASTER</t>
        </is>
      </c>
      <c r="F360" s="67" t="inlineStr">
        <is>
          <t>PAR</t>
        </is>
      </c>
      <c r="G360" s="84" t="n">
        <v>673</v>
      </c>
      <c r="H360" s="57" t="inlineStr"/>
      <c r="I360" s="139" t="n">
        <v>324.02</v>
      </c>
      <c r="J360" s="140" t="n">
        <v>0.4814561664190193</v>
      </c>
      <c r="K360" s="86" t="inlineStr">
        <is>
          <t>PEN</t>
        </is>
      </c>
    </row>
    <row r="361">
      <c r="A361" s="84" t="n">
        <v>32004377</v>
      </c>
      <c r="B361" s="67" t="inlineStr">
        <is>
          <t>TPSU</t>
        </is>
      </c>
      <c r="C361" s="90" t="inlineStr">
        <is>
          <t>L001</t>
        </is>
      </c>
      <c r="D361" s="84" t="n">
        <v>1060303</v>
      </c>
      <c r="E361" s="80" t="inlineStr">
        <is>
          <t>GUANTE NITRILO 13'' TALLA L (09)</t>
        </is>
      </c>
      <c r="F361" s="67" t="inlineStr">
        <is>
          <t>PAR</t>
        </is>
      </c>
      <c r="G361" s="84" t="n">
        <v>14</v>
      </c>
      <c r="H361" s="57" t="inlineStr"/>
      <c r="I361" s="139" t="n">
        <v>65.16</v>
      </c>
      <c r="J361" s="140" t="n">
        <v>4.654285714285714</v>
      </c>
      <c r="K361" s="86" t="inlineStr">
        <is>
          <t>PEN</t>
        </is>
      </c>
    </row>
    <row r="362">
      <c r="A362" s="84" t="n">
        <v>32004378</v>
      </c>
      <c r="B362" s="67" t="inlineStr">
        <is>
          <t>TPSU</t>
        </is>
      </c>
      <c r="C362" s="90" t="inlineStr">
        <is>
          <t>L001</t>
        </is>
      </c>
      <c r="D362" s="84" t="n">
        <v>1060303</v>
      </c>
      <c r="E362" s="80" t="inlineStr">
        <is>
          <t>GUANTE NITRILO 13'' TALLA M (08)</t>
        </is>
      </c>
      <c r="F362" s="67" t="inlineStr">
        <is>
          <t>PAR</t>
        </is>
      </c>
      <c r="G362" s="84" t="n">
        <v>31</v>
      </c>
      <c r="H362" s="57" t="inlineStr"/>
      <c r="I362" s="139" t="n">
        <v>180.57</v>
      </c>
      <c r="J362" s="140" t="n">
        <v>5.824838709677419</v>
      </c>
      <c r="K362" s="86" t="inlineStr">
        <is>
          <t>PEN</t>
        </is>
      </c>
    </row>
    <row r="363">
      <c r="A363" s="84" t="n">
        <v>32004387</v>
      </c>
      <c r="B363" s="67" t="inlineStr">
        <is>
          <t>TPSU</t>
        </is>
      </c>
      <c r="C363" s="90" t="inlineStr">
        <is>
          <t>L001</t>
        </is>
      </c>
      <c r="D363" s="84" t="n">
        <v>1060303</v>
      </c>
      <c r="E363" s="80" t="inlineStr">
        <is>
          <t>GUANTE NITRILO 6 MM TALLA M DESECHABLE</t>
        </is>
      </c>
      <c r="F363" s="67" t="inlineStr">
        <is>
          <t>PAR</t>
        </is>
      </c>
      <c r="G363" s="84" t="n">
        <v>190</v>
      </c>
      <c r="H363" s="57" t="inlineStr"/>
      <c r="I363" s="139" t="n">
        <v>232.11</v>
      </c>
      <c r="J363" s="140" t="n">
        <v>1.221631578947368</v>
      </c>
      <c r="K363" s="86" t="inlineStr">
        <is>
          <t>PEN</t>
        </is>
      </c>
    </row>
    <row r="364">
      <c r="A364" s="84" t="n">
        <v>32004384</v>
      </c>
      <c r="B364" s="82" t="inlineStr">
        <is>
          <t>TPSU</t>
        </is>
      </c>
      <c r="C364" s="82" t="inlineStr">
        <is>
          <t>L001</t>
        </is>
      </c>
      <c r="D364" s="84" t="n">
        <v>1060304</v>
      </c>
      <c r="E364" s="80" t="inlineStr">
        <is>
          <t>GUANTE NITRILO 4 MM T-M KLEENGUARD G10</t>
        </is>
      </c>
      <c r="F364" s="67" t="inlineStr">
        <is>
          <t>PAR</t>
        </is>
      </c>
      <c r="G364" s="84" t="n">
        <v>100</v>
      </c>
      <c r="H364" s="57" t="inlineStr"/>
      <c r="I364" s="139" t="n">
        <v>181.96</v>
      </c>
      <c r="J364" s="140" t="n">
        <v>1.8196</v>
      </c>
      <c r="K364" s="86" t="inlineStr">
        <is>
          <t>PEN</t>
        </is>
      </c>
    </row>
    <row r="365">
      <c r="A365" s="84" t="n">
        <v>32004383</v>
      </c>
      <c r="B365" s="82" t="inlineStr">
        <is>
          <t>TPSU</t>
        </is>
      </c>
      <c r="C365" s="82" t="inlineStr">
        <is>
          <t>L001</t>
        </is>
      </c>
      <c r="D365" s="84" t="n">
        <v>1060304</v>
      </c>
      <c r="E365" s="80" t="inlineStr">
        <is>
          <t>GUANTE NITRILO 4 MM TALLA L T/QUIRURGICO</t>
        </is>
      </c>
      <c r="F365" s="67" t="inlineStr">
        <is>
          <t>PAR</t>
        </is>
      </c>
      <c r="G365" s="84" t="n">
        <v>72</v>
      </c>
      <c r="H365" s="57" t="inlineStr"/>
      <c r="I365" s="139" t="n">
        <v>88.2</v>
      </c>
      <c r="J365" s="140" t="n">
        <v>1.225</v>
      </c>
      <c r="K365" s="86" t="inlineStr">
        <is>
          <t>PEN</t>
        </is>
      </c>
    </row>
    <row r="366">
      <c r="A366" s="84" t="n">
        <v>32004389</v>
      </c>
      <c r="B366" s="82" t="inlineStr">
        <is>
          <t>TPSU</t>
        </is>
      </c>
      <c r="C366" s="82" t="inlineStr">
        <is>
          <t>L001</t>
        </is>
      </c>
      <c r="D366" s="84" t="n">
        <v>1060305</v>
      </c>
      <c r="E366" s="80" t="inlineStr">
        <is>
          <t>GUANTE NITRILO NY TALLA L (9) REC ESPUMA</t>
        </is>
      </c>
      <c r="F366" s="67" t="inlineStr">
        <is>
          <t>PAR</t>
        </is>
      </c>
      <c r="G366" s="84" t="n">
        <v>4</v>
      </c>
      <c r="H366" s="57" t="inlineStr"/>
      <c r="I366" s="139" t="n">
        <v>94.90000000000001</v>
      </c>
      <c r="J366" s="140" t="n">
        <v>23.725</v>
      </c>
      <c r="K366" s="86" t="inlineStr">
        <is>
          <t>PEN</t>
        </is>
      </c>
    </row>
    <row r="367">
      <c r="A367" s="84" t="n">
        <v>32004390</v>
      </c>
      <c r="B367" s="82" t="inlineStr">
        <is>
          <t>TPSU</t>
        </is>
      </c>
      <c r="C367" s="82" t="inlineStr">
        <is>
          <t>L001</t>
        </is>
      </c>
      <c r="D367" s="84" t="n">
        <v>1060305</v>
      </c>
      <c r="E367" s="80" t="inlineStr">
        <is>
          <t>GUANTE NITRILO NY TALLA M (8) REC ESPUMA</t>
        </is>
      </c>
      <c r="F367" s="67" t="inlineStr">
        <is>
          <t>PAR</t>
        </is>
      </c>
      <c r="G367" s="84" t="n">
        <v>7</v>
      </c>
      <c r="H367" s="57" t="inlineStr"/>
      <c r="I367" s="139" t="n">
        <v>158.03</v>
      </c>
      <c r="J367" s="140" t="n">
        <v>22.57571428571429</v>
      </c>
      <c r="K367" s="86" t="inlineStr">
        <is>
          <t>PEN</t>
        </is>
      </c>
    </row>
    <row r="368">
      <c r="A368" s="84" t="n">
        <v>32004373</v>
      </c>
      <c r="B368" s="82" t="inlineStr">
        <is>
          <t>TPSU</t>
        </is>
      </c>
      <c r="C368" s="82" t="inlineStr">
        <is>
          <t>L001</t>
        </is>
      </c>
      <c r="D368" s="84" t="n">
        <v>1060306</v>
      </c>
      <c r="E368" s="80" t="inlineStr">
        <is>
          <t>GUANTE NEOPRENE P/ABRASION Y GRASA 18"</t>
        </is>
      </c>
      <c r="F368" s="67" t="inlineStr">
        <is>
          <t>PAR</t>
        </is>
      </c>
      <c r="G368" s="84" t="n">
        <v>14</v>
      </c>
      <c r="H368" s="57" t="inlineStr"/>
      <c r="I368" s="139" t="n">
        <v>447.37</v>
      </c>
      <c r="J368" s="140" t="n">
        <v>31.955</v>
      </c>
      <c r="K368" s="86" t="inlineStr">
        <is>
          <t>PEN</t>
        </is>
      </c>
    </row>
    <row r="369">
      <c r="A369" s="84" t="n">
        <v>32004398</v>
      </c>
      <c r="B369" s="82" t="inlineStr">
        <is>
          <t>TPSU</t>
        </is>
      </c>
      <c r="C369" s="82" t="inlineStr">
        <is>
          <t>L001</t>
        </is>
      </c>
      <c r="D369" s="84" t="n">
        <v>1060306</v>
      </c>
      <c r="E369" s="80" t="inlineStr">
        <is>
          <t>GUANTE SHOWA 660/TEJ. ALGODON/PVC T 8/M</t>
        </is>
      </c>
      <c r="F369" s="67" t="inlineStr">
        <is>
          <t>PAR</t>
        </is>
      </c>
      <c r="G369" s="84" t="n">
        <v>4</v>
      </c>
      <c r="H369" s="57" t="inlineStr"/>
      <c r="I369" s="139" t="n">
        <v>48.66</v>
      </c>
      <c r="J369" s="140" t="n">
        <v>12.165</v>
      </c>
      <c r="K369" s="86" t="inlineStr">
        <is>
          <t>PEN</t>
        </is>
      </c>
    </row>
    <row r="370">
      <c r="A370" s="84" t="n">
        <v>32004395</v>
      </c>
      <c r="B370" s="82" t="inlineStr">
        <is>
          <t>TPSU</t>
        </is>
      </c>
      <c r="C370" s="82" t="inlineStr">
        <is>
          <t>L001</t>
        </is>
      </c>
      <c r="D370" s="84" t="n">
        <v>1060401</v>
      </c>
      <c r="E370" s="80" t="inlineStr">
        <is>
          <t>GUANTE POLI-ALGODON P/MANIOBRAS T 8/M</t>
        </is>
      </c>
      <c r="F370" s="67" t="inlineStr">
        <is>
          <t>PAR</t>
        </is>
      </c>
      <c r="G370" s="84" t="n">
        <v>80</v>
      </c>
      <c r="H370" s="57" t="inlineStr"/>
      <c r="I370" s="139" t="n">
        <v>978.04</v>
      </c>
      <c r="J370" s="140" t="n">
        <v>12.2255</v>
      </c>
      <c r="K370" s="86" t="inlineStr">
        <is>
          <t>PEN</t>
        </is>
      </c>
    </row>
    <row r="371">
      <c r="A371" s="84" t="n">
        <v>32004396</v>
      </c>
      <c r="B371" s="82" t="inlineStr">
        <is>
          <t>TPSU</t>
        </is>
      </c>
      <c r="C371" s="82" t="inlineStr">
        <is>
          <t>L001</t>
        </is>
      </c>
      <c r="D371" s="84" t="n">
        <v>1060402</v>
      </c>
      <c r="E371" s="80" t="inlineStr">
        <is>
          <t>GUANTE POLI-ALGODON P/MANIOBRAS T 9/L</t>
        </is>
      </c>
      <c r="F371" s="67" t="inlineStr">
        <is>
          <t>PAR</t>
        </is>
      </c>
      <c r="G371" s="84" t="n">
        <v>112</v>
      </c>
      <c r="H371" s="57" t="inlineStr"/>
      <c r="I371" s="139" t="n">
        <v>1370.32</v>
      </c>
      <c r="J371" s="140" t="n">
        <v>12.235</v>
      </c>
      <c r="K371" s="86" t="inlineStr">
        <is>
          <t>PEN</t>
        </is>
      </c>
    </row>
    <row r="372">
      <c r="A372" s="84" t="n">
        <v>32007250</v>
      </c>
      <c r="B372" s="67" t="inlineStr">
        <is>
          <t>TPSU</t>
        </is>
      </c>
      <c r="C372" s="90" t="inlineStr">
        <is>
          <t>L001</t>
        </is>
      </c>
      <c r="D372" s="84" t="n">
        <v>1060403</v>
      </c>
      <c r="E372" s="80" t="inlineStr">
        <is>
          <t>LENTE SEGURIDAD OSCURO SECUREFIT 402X/3M</t>
        </is>
      </c>
      <c r="F372" s="67" t="inlineStr">
        <is>
          <t>UN</t>
        </is>
      </c>
      <c r="G372" s="84" t="n">
        <v>65</v>
      </c>
      <c r="H372" s="57" t="inlineStr"/>
      <c r="I372" s="139" t="n">
        <v>1604.06</v>
      </c>
      <c r="J372" s="140" t="n">
        <v>24.67784615384615</v>
      </c>
      <c r="K372" s="86" t="inlineStr">
        <is>
          <t>PEN</t>
        </is>
      </c>
    </row>
    <row r="373">
      <c r="A373" s="84" t="n">
        <v>32007478</v>
      </c>
      <c r="B373" s="67" t="inlineStr">
        <is>
          <t>TPSU</t>
        </is>
      </c>
      <c r="C373" s="90" t="inlineStr">
        <is>
          <t>L001</t>
        </is>
      </c>
      <c r="D373" s="84" t="n">
        <v>1060404</v>
      </c>
      <c r="E373" s="80" t="inlineStr">
        <is>
          <t>LENTE SEGURIDAD TRANSP SECUREFIT 401X/3M</t>
        </is>
      </c>
      <c r="F373" s="67" t="inlineStr">
        <is>
          <t>UN</t>
        </is>
      </c>
      <c r="G373" s="84" t="n">
        <v>114</v>
      </c>
      <c r="H373" s="57" t="inlineStr"/>
      <c r="I373" s="139" t="n">
        <v>2841.63</v>
      </c>
      <c r="J373" s="140" t="n">
        <v>24.92657894736842</v>
      </c>
      <c r="K373" s="86" t="inlineStr">
        <is>
          <t>PEN</t>
        </is>
      </c>
    </row>
    <row r="374">
      <c r="A374" s="84" t="n">
        <v>32005158</v>
      </c>
      <c r="B374" s="67" t="inlineStr">
        <is>
          <t>TPSU</t>
        </is>
      </c>
      <c r="C374" s="90" t="inlineStr">
        <is>
          <t>L001</t>
        </is>
      </c>
      <c r="D374" s="84" t="n">
        <v>1060404</v>
      </c>
      <c r="E374" s="80" t="inlineStr">
        <is>
          <t>SOBRELENTES SEGURIDAD OSCUROS</t>
        </is>
      </c>
      <c r="F374" s="67" t="inlineStr">
        <is>
          <t>UN</t>
        </is>
      </c>
      <c r="G374" s="84" t="n">
        <v>24</v>
      </c>
      <c r="H374" s="57" t="inlineStr"/>
      <c r="I374" s="139" t="n">
        <v>186.66</v>
      </c>
      <c r="J374" s="140" t="n">
        <v>7.7775</v>
      </c>
      <c r="K374" s="86" t="inlineStr">
        <is>
          <t>PEN</t>
        </is>
      </c>
    </row>
    <row r="375">
      <c r="A375" s="84" t="n">
        <v>32003613</v>
      </c>
      <c r="B375" s="67" t="inlineStr">
        <is>
          <t>TPSU</t>
        </is>
      </c>
      <c r="C375" s="90" t="inlineStr">
        <is>
          <t>L001</t>
        </is>
      </c>
      <c r="D375" s="84" t="n">
        <v>1060405</v>
      </c>
      <c r="E375" s="80" t="inlineStr">
        <is>
          <t>BOLSITA PROTECCION LENTES DE SEGURIDAD</t>
        </is>
      </c>
      <c r="F375" s="67" t="inlineStr">
        <is>
          <t>JGO</t>
        </is>
      </c>
      <c r="G375" s="84" t="n">
        <v>1</v>
      </c>
      <c r="H375" s="57" t="inlineStr"/>
      <c r="I375" s="139" t="n">
        <v>5.98</v>
      </c>
      <c r="J375" s="140" t="n">
        <v>5.98</v>
      </c>
      <c r="K375" s="86" t="inlineStr">
        <is>
          <t>PEN</t>
        </is>
      </c>
    </row>
    <row r="376">
      <c r="A376" s="84" t="n">
        <v>32005160</v>
      </c>
      <c r="B376" s="67" t="inlineStr">
        <is>
          <t>TPSU</t>
        </is>
      </c>
      <c r="C376" s="90" t="inlineStr">
        <is>
          <t>L001</t>
        </is>
      </c>
      <c r="D376" s="84" t="n">
        <v>1060405</v>
      </c>
      <c r="E376" s="80" t="inlineStr">
        <is>
          <t>SOBRELENTES SEGURIDAD TRANSPARENTE</t>
        </is>
      </c>
      <c r="F376" s="67" t="inlineStr">
        <is>
          <t>UN</t>
        </is>
      </c>
      <c r="G376" s="84" t="n">
        <v>27</v>
      </c>
      <c r="H376" s="57" t="inlineStr"/>
      <c r="I376" s="139" t="n">
        <v>209.88</v>
      </c>
      <c r="J376" s="140" t="n">
        <v>7.773333333333333</v>
      </c>
      <c r="K376" s="86" t="inlineStr">
        <is>
          <t>PEN</t>
        </is>
      </c>
    </row>
    <row r="377">
      <c r="A377" s="84" t="n">
        <v>32005597</v>
      </c>
      <c r="B377" s="67" t="inlineStr">
        <is>
          <t>TPSU</t>
        </is>
      </c>
      <c r="C377" s="90" t="inlineStr">
        <is>
          <t>L001</t>
        </is>
      </c>
      <c r="D377" s="84" t="n">
        <v>1060406</v>
      </c>
      <c r="E377" s="80" t="inlineStr">
        <is>
          <t>INSERTO CLARO PARA ANTEOJOS</t>
        </is>
      </c>
      <c r="F377" s="67" t="inlineStr">
        <is>
          <t>UN</t>
        </is>
      </c>
      <c r="G377" s="84" t="n">
        <v>4</v>
      </c>
      <c r="H377" s="57" t="inlineStr"/>
      <c r="I377" s="139" t="n">
        <v>37.97</v>
      </c>
      <c r="J377" s="140" t="n">
        <v>9.4925</v>
      </c>
      <c r="K377" s="86" t="inlineStr">
        <is>
          <t>PEN</t>
        </is>
      </c>
    </row>
    <row r="378">
      <c r="A378" s="84" t="n">
        <v>32005025</v>
      </c>
      <c r="B378" s="67" t="inlineStr">
        <is>
          <t>TPSU</t>
        </is>
      </c>
      <c r="C378" s="90" t="inlineStr">
        <is>
          <t>L001</t>
        </is>
      </c>
      <c r="D378" s="84" t="n">
        <v>1060406</v>
      </c>
      <c r="E378" s="80" t="inlineStr">
        <is>
          <t>REPUESTO LUNA OSCURA ANTEOJOS DE PROT.</t>
        </is>
      </c>
      <c r="F378" s="67" t="inlineStr">
        <is>
          <t>UN</t>
        </is>
      </c>
      <c r="G378" s="84" t="n">
        <v>10</v>
      </c>
      <c r="H378" s="57" t="inlineStr"/>
      <c r="I378" s="139" t="n">
        <v>106.97</v>
      </c>
      <c r="J378" s="140" t="n">
        <v>10.697</v>
      </c>
      <c r="K378" s="86" t="inlineStr">
        <is>
          <t>PEN</t>
        </is>
      </c>
    </row>
    <row r="379">
      <c r="A379" s="84" t="n">
        <v>32005412</v>
      </c>
      <c r="B379" s="67" t="inlineStr">
        <is>
          <t>TPSU</t>
        </is>
      </c>
      <c r="C379" s="90" t="inlineStr">
        <is>
          <t>L001</t>
        </is>
      </c>
      <c r="D379" s="84" t="n">
        <v>1060501</v>
      </c>
      <c r="E379" s="80" t="inlineStr">
        <is>
          <t>BARBIQUEJO ELASTICO S/MENTONERA</t>
        </is>
      </c>
      <c r="F379" s="67" t="inlineStr">
        <is>
          <t>UN</t>
        </is>
      </c>
      <c r="G379" s="84" t="n">
        <v>85</v>
      </c>
      <c r="H379" s="57" t="inlineStr"/>
      <c r="I379" s="139" t="n">
        <v>358.24</v>
      </c>
      <c r="J379" s="140" t="n">
        <v>4.214588235294118</v>
      </c>
      <c r="K379" s="86" t="inlineStr">
        <is>
          <t>PEN</t>
        </is>
      </c>
    </row>
    <row r="380">
      <c r="A380" s="84" t="n">
        <v>32007837</v>
      </c>
      <c r="B380" s="67" t="inlineStr">
        <is>
          <t>TPSU</t>
        </is>
      </c>
      <c r="C380" s="90" t="inlineStr">
        <is>
          <t>L001</t>
        </is>
      </c>
      <c r="D380" s="84" t="n">
        <v>1060501</v>
      </c>
      <c r="E380" s="80" t="inlineStr">
        <is>
          <t>OREJERA ADAPTABLE P/CASCO PELTOR X4P3E</t>
        </is>
      </c>
      <c r="F380" s="67" t="inlineStr">
        <is>
          <t>UN</t>
        </is>
      </c>
      <c r="G380" s="84" t="n">
        <v>14</v>
      </c>
      <c r="H380" s="57" t="inlineStr"/>
      <c r="I380" s="139" t="n">
        <v>1656.91</v>
      </c>
      <c r="J380" s="140" t="n">
        <v>118.3507142857143</v>
      </c>
      <c r="K380" s="86" t="inlineStr">
        <is>
          <t>PEN</t>
        </is>
      </c>
    </row>
    <row r="381">
      <c r="A381" s="84" t="n">
        <v>32005224</v>
      </c>
      <c r="B381" s="67" t="inlineStr">
        <is>
          <t>TPSU</t>
        </is>
      </c>
      <c r="C381" s="90" t="inlineStr">
        <is>
          <t>L001</t>
        </is>
      </c>
      <c r="D381" s="84" t="n">
        <v>1060502</v>
      </c>
      <c r="E381" s="80" t="inlineStr">
        <is>
          <t>TAPON AUDITIVO (ENVASE X500PAR) P/DISPEN</t>
        </is>
      </c>
      <c r="F381" s="67" t="inlineStr">
        <is>
          <t>UN</t>
        </is>
      </c>
      <c r="G381" s="84" t="n">
        <v>3</v>
      </c>
      <c r="H381" s="57" t="inlineStr"/>
      <c r="I381" s="139" t="n">
        <v>714.24</v>
      </c>
      <c r="J381" s="140" t="n">
        <v>238.08</v>
      </c>
      <c r="K381" s="86" t="inlineStr">
        <is>
          <t>PEN</t>
        </is>
      </c>
    </row>
    <row r="382">
      <c r="A382" s="84" t="n">
        <v>32005226</v>
      </c>
      <c r="B382" s="67" t="inlineStr">
        <is>
          <t>TPSU</t>
        </is>
      </c>
      <c r="C382" s="90" t="inlineStr">
        <is>
          <t>L001</t>
        </is>
      </c>
      <c r="D382" s="84" t="n">
        <v>1060502</v>
      </c>
      <c r="E382" s="80" t="inlineStr">
        <is>
          <t>TAPON OIDO HIPOALERGENICO REUTILIZABLE</t>
        </is>
      </c>
      <c r="F382" s="67" t="inlineStr">
        <is>
          <t>PAR</t>
        </is>
      </c>
      <c r="G382" s="84" t="n">
        <v>40</v>
      </c>
      <c r="H382" s="57" t="inlineStr"/>
      <c r="I382" s="139" t="n">
        <v>191.4</v>
      </c>
      <c r="J382" s="140" t="n">
        <v>4.785</v>
      </c>
      <c r="K382" s="86" t="inlineStr">
        <is>
          <t>PEN</t>
        </is>
      </c>
    </row>
    <row r="383">
      <c r="A383" s="84" t="n">
        <v>32003860</v>
      </c>
      <c r="B383" s="67" t="inlineStr">
        <is>
          <t>TPSU</t>
        </is>
      </c>
      <c r="C383" s="90" t="inlineStr">
        <is>
          <t>L001</t>
        </is>
      </c>
      <c r="D383" s="84" t="n">
        <v>1060503</v>
      </c>
      <c r="E383" s="80" t="inlineStr">
        <is>
          <t>CARTUCHO 6059 MULTIGASES Y VAPORES 3M</t>
        </is>
      </c>
      <c r="F383" s="67" t="inlineStr">
        <is>
          <t>PAR</t>
        </is>
      </c>
      <c r="G383" s="84" t="n">
        <v>25</v>
      </c>
      <c r="H383" s="57" t="inlineStr">
        <is>
          <t>C22202</t>
        </is>
      </c>
      <c r="I383" s="139" t="n">
        <v>1762.82</v>
      </c>
      <c r="J383" s="140" t="n">
        <v>70.5128</v>
      </c>
      <c r="K383" s="86" t="inlineStr">
        <is>
          <t>PEN</t>
        </is>
      </c>
    </row>
    <row r="384">
      <c r="A384" s="84" t="n">
        <v>32003862</v>
      </c>
      <c r="B384" s="67" t="inlineStr">
        <is>
          <t>TPSU</t>
        </is>
      </c>
      <c r="C384" s="90" t="inlineStr">
        <is>
          <t>L001</t>
        </is>
      </c>
      <c r="D384" s="84" t="n">
        <v>1060503</v>
      </c>
      <c r="E384" s="80" t="inlineStr">
        <is>
          <t>CARTUCHO P/AMONIACO/METILAMINAS 6004 3M</t>
        </is>
      </c>
      <c r="F384" s="67" t="inlineStr">
        <is>
          <t>PAR</t>
        </is>
      </c>
      <c r="G384" s="84" t="n">
        <v>4</v>
      </c>
      <c r="H384" s="57" t="inlineStr">
        <is>
          <t>GR13983189</t>
        </is>
      </c>
      <c r="I384" s="139" t="n">
        <v>148.72</v>
      </c>
      <c r="J384" s="140" t="n">
        <v>37.18</v>
      </c>
      <c r="K384" s="86" t="inlineStr">
        <is>
          <t>PEN</t>
        </is>
      </c>
    </row>
    <row r="385">
      <c r="A385" s="84" t="n">
        <v>32004242</v>
      </c>
      <c r="B385" s="67" t="inlineStr">
        <is>
          <t>TPSU</t>
        </is>
      </c>
      <c r="C385" s="90" t="inlineStr">
        <is>
          <t>L001</t>
        </is>
      </c>
      <c r="D385" s="84" t="n">
        <v>1060503</v>
      </c>
      <c r="E385" s="80" t="inlineStr">
        <is>
          <t>FILTRO P/HUMOS METALICOS 2097 P100 3M</t>
        </is>
      </c>
      <c r="F385" s="67" t="inlineStr">
        <is>
          <t>PAR</t>
        </is>
      </c>
      <c r="G385" s="84" t="n">
        <v>10</v>
      </c>
      <c r="H385" s="57" t="inlineStr">
        <is>
          <t>A22157</t>
        </is>
      </c>
      <c r="I385" s="139" t="n">
        <v>347.95</v>
      </c>
      <c r="J385" s="140" t="n">
        <v>34.795</v>
      </c>
      <c r="K385" s="86" t="inlineStr">
        <is>
          <t>PEN</t>
        </is>
      </c>
    </row>
    <row r="386">
      <c r="A386" s="84" t="n">
        <v>32004244</v>
      </c>
      <c r="B386" s="67" t="inlineStr">
        <is>
          <t>TPSU</t>
        </is>
      </c>
      <c r="C386" s="90" t="inlineStr">
        <is>
          <t>L001</t>
        </is>
      </c>
      <c r="D386" s="84" t="n">
        <v>1060504</v>
      </c>
      <c r="E386" s="80" t="inlineStr">
        <is>
          <t>FILTRO P/PARTICULAS 7093 P-100 3M</t>
        </is>
      </c>
      <c r="F386" s="67" t="inlineStr">
        <is>
          <t>PAR</t>
        </is>
      </c>
      <c r="G386" s="84" t="n">
        <v>1</v>
      </c>
      <c r="H386" s="57" t="inlineStr">
        <is>
          <t>072108</t>
        </is>
      </c>
      <c r="I386" s="139" t="n">
        <v>29.31</v>
      </c>
      <c r="J386" s="140" t="n">
        <v>29.31</v>
      </c>
      <c r="K386" s="86" t="inlineStr">
        <is>
          <t>PEN</t>
        </is>
      </c>
    </row>
    <row r="387">
      <c r="A387" s="84" t="n">
        <v>32004041</v>
      </c>
      <c r="B387" s="67" t="inlineStr">
        <is>
          <t>TPSU</t>
        </is>
      </c>
      <c r="C387" s="90" t="inlineStr">
        <is>
          <t>L001</t>
        </is>
      </c>
      <c r="D387" s="84" t="n">
        <v>1060505</v>
      </c>
      <c r="E387" s="80" t="inlineStr">
        <is>
          <t>CORREA NYLON P/CAMILLA T/BACKBOARD</t>
        </is>
      </c>
      <c r="F387" s="67" t="inlineStr">
        <is>
          <t>UN</t>
        </is>
      </c>
      <c r="G387" s="84" t="n">
        <v>4</v>
      </c>
      <c r="H387" s="57" t="inlineStr"/>
      <c r="I387" s="139" t="n">
        <v>333.7</v>
      </c>
      <c r="J387" s="140" t="n">
        <v>83.425</v>
      </c>
      <c r="K387" s="86" t="inlineStr">
        <is>
          <t>PEN</t>
        </is>
      </c>
    </row>
    <row r="388">
      <c r="A388" s="84" t="n">
        <v>32005398</v>
      </c>
      <c r="B388" s="82" t="inlineStr">
        <is>
          <t>TPSU</t>
        </is>
      </c>
      <c r="C388" s="82" t="inlineStr">
        <is>
          <t>L001</t>
        </is>
      </c>
      <c r="D388" s="84" t="n">
        <v>1060506</v>
      </c>
      <c r="E388" s="80" t="inlineStr">
        <is>
          <t>VISERA ADAPTABLE PARA CASCO</t>
        </is>
      </c>
      <c r="F388" s="67" t="inlineStr">
        <is>
          <t>UN</t>
        </is>
      </c>
      <c r="G388" s="84" t="n">
        <v>20</v>
      </c>
      <c r="H388" s="57" t="inlineStr"/>
      <c r="I388" s="139" t="n">
        <v>674</v>
      </c>
      <c r="J388" s="140" t="n">
        <v>33.7</v>
      </c>
      <c r="K388" s="86" t="inlineStr">
        <is>
          <t>PEN</t>
        </is>
      </c>
    </row>
    <row r="389">
      <c r="A389" s="84" t="n">
        <v>32005352</v>
      </c>
      <c r="B389" s="82" t="inlineStr">
        <is>
          <t>TPSU</t>
        </is>
      </c>
      <c r="C389" s="82" t="inlineStr">
        <is>
          <t>L001</t>
        </is>
      </c>
      <c r="D389" s="84" t="n">
        <v>1060603</v>
      </c>
      <c r="E389" s="80" t="inlineStr">
        <is>
          <t>TRAJE DESCARTABLE AMARILLO P/QUIMICOS L</t>
        </is>
      </c>
      <c r="F389" s="67" t="inlineStr">
        <is>
          <t>UN</t>
        </is>
      </c>
      <c r="G389" s="84" t="n">
        <v>1</v>
      </c>
      <c r="H389" s="57" t="inlineStr"/>
      <c r="I389" s="139" t="n">
        <v>66.26000000000001</v>
      </c>
      <c r="J389" s="140" t="n">
        <v>66.26000000000001</v>
      </c>
      <c r="K389" s="86" t="inlineStr">
        <is>
          <t>PEN</t>
        </is>
      </c>
    </row>
    <row r="390">
      <c r="A390" s="84" t="n">
        <v>32006251</v>
      </c>
      <c r="B390" s="67" t="inlineStr">
        <is>
          <t>TPSU</t>
        </is>
      </c>
      <c r="C390" s="90" t="inlineStr">
        <is>
          <t>L001</t>
        </is>
      </c>
      <c r="D390" s="84" t="n">
        <v>1060604</v>
      </c>
      <c r="E390" s="80" t="inlineStr">
        <is>
          <t>TRAJE DESCART BLANCO P/PINTADO T-M</t>
        </is>
      </c>
      <c r="F390" s="67" t="inlineStr">
        <is>
          <t>JGO</t>
        </is>
      </c>
      <c r="G390" s="84" t="n">
        <v>20</v>
      </c>
      <c r="H390" s="57" t="inlineStr"/>
      <c r="I390" s="139" t="n">
        <v>348.02</v>
      </c>
      <c r="J390" s="140" t="n">
        <v>17.401</v>
      </c>
      <c r="K390" s="86" t="inlineStr">
        <is>
          <t>PEN</t>
        </is>
      </c>
    </row>
    <row r="391">
      <c r="A391" s="84" t="n">
        <v>32003993</v>
      </c>
      <c r="B391" s="67" t="inlineStr">
        <is>
          <t>TPSU</t>
        </is>
      </c>
      <c r="C391" s="90" t="inlineStr">
        <is>
          <t>L001</t>
        </is>
      </c>
      <c r="D391" s="84" t="n">
        <v>1060605</v>
      </c>
      <c r="E391" s="80" t="inlineStr">
        <is>
          <t>CINTA REFLECTIVA ANARANJADO 2" X 50MTS</t>
        </is>
      </c>
      <c r="F391" s="67" t="inlineStr">
        <is>
          <t>ROL</t>
        </is>
      </c>
      <c r="G391" s="84" t="n">
        <v>2</v>
      </c>
      <c r="H391" s="57" t="inlineStr"/>
      <c r="I391" s="139" t="n">
        <v>288.98</v>
      </c>
      <c r="J391" s="140" t="n">
        <v>144.49</v>
      </c>
      <c r="K391" s="86" t="inlineStr">
        <is>
          <t>PEN</t>
        </is>
      </c>
    </row>
    <row r="392">
      <c r="A392" s="84" t="n">
        <v>32003503</v>
      </c>
      <c r="B392" s="67" t="inlineStr">
        <is>
          <t>TPSU</t>
        </is>
      </c>
      <c r="C392" s="90" t="inlineStr">
        <is>
          <t>L001</t>
        </is>
      </c>
      <c r="D392" s="84" t="n">
        <v>1060702</v>
      </c>
      <c r="E392" s="141" t="inlineStr">
        <is>
          <t>ARNES POLIESTER CUERPO COMP.4 ANILLOS</t>
        </is>
      </c>
      <c r="F392" s="67" t="inlineStr">
        <is>
          <t>UN</t>
        </is>
      </c>
      <c r="G392" s="84" t="n">
        <v>5</v>
      </c>
      <c r="H392" s="57" t="inlineStr"/>
      <c r="I392" s="139" t="n">
        <v>1121.77</v>
      </c>
      <c r="J392" s="140" t="n">
        <v>224.354</v>
      </c>
      <c r="K392" s="86" t="inlineStr">
        <is>
          <t>PEN</t>
        </is>
      </c>
    </row>
    <row r="393">
      <c r="A393" s="84" t="n">
        <v>32004581</v>
      </c>
      <c r="B393" s="67" t="inlineStr">
        <is>
          <t>TPSU</t>
        </is>
      </c>
      <c r="C393" s="90" t="inlineStr">
        <is>
          <t>L001</t>
        </is>
      </c>
      <c r="D393" s="84" t="n">
        <v>1060703</v>
      </c>
      <c r="E393" s="141" t="inlineStr">
        <is>
          <t>LINEA ANCLAJE DOBLE C/AM IMP 2 GANCX 1.8</t>
        </is>
      </c>
      <c r="F393" s="67" t="inlineStr">
        <is>
          <t>UN</t>
        </is>
      </c>
      <c r="G393" s="84" t="n">
        <v>9</v>
      </c>
      <c r="H393" s="57" t="inlineStr"/>
      <c r="I393" s="139" t="n">
        <v>2617.02</v>
      </c>
      <c r="J393" s="140" t="n">
        <v>290.78</v>
      </c>
      <c r="K393" s="86" t="inlineStr">
        <is>
          <t>PEN</t>
        </is>
      </c>
    </row>
    <row r="394">
      <c r="A394" s="84" t="n">
        <v>32004028</v>
      </c>
      <c r="B394" s="67" t="inlineStr">
        <is>
          <t>TPSU</t>
        </is>
      </c>
      <c r="C394" s="90" t="inlineStr">
        <is>
          <t>L001</t>
        </is>
      </c>
      <c r="D394" s="84" t="n">
        <v>1060704</v>
      </c>
      <c r="E394" s="80" t="inlineStr">
        <is>
          <t>CONECTOR ANCLAJE 3 PIES LONGITUD</t>
        </is>
      </c>
      <c r="F394" s="67" t="inlineStr">
        <is>
          <t>UN</t>
        </is>
      </c>
      <c r="G394" s="84" t="n">
        <v>3</v>
      </c>
      <c r="H394" s="57" t="inlineStr"/>
      <c r="I394" s="139" t="n">
        <v>354.51</v>
      </c>
      <c r="J394" s="140" t="n">
        <v>118.17</v>
      </c>
      <c r="K394" s="86" t="inlineStr">
        <is>
          <t>PEN</t>
        </is>
      </c>
    </row>
    <row r="395">
      <c r="A395" s="84" t="n">
        <v>32004583</v>
      </c>
      <c r="B395" s="67" t="inlineStr">
        <is>
          <t>TPSU</t>
        </is>
      </c>
      <c r="C395" s="90" t="inlineStr">
        <is>
          <t>L001</t>
        </is>
      </c>
      <c r="D395" s="84" t="n">
        <v>1060704</v>
      </c>
      <c r="E395" s="141" t="inlineStr">
        <is>
          <t>LINEA VIDA DOB.POLIESTER C/AMORT 1.80 MT</t>
        </is>
      </c>
      <c r="F395" s="67" t="inlineStr">
        <is>
          <t>UN</t>
        </is>
      </c>
      <c r="G395" s="84" t="n">
        <v>1</v>
      </c>
      <c r="H395" s="57" t="inlineStr"/>
      <c r="I395" s="139" t="n">
        <v>531.36</v>
      </c>
      <c r="J395" s="140" t="n">
        <v>531.36</v>
      </c>
      <c r="K395" s="86" t="inlineStr">
        <is>
          <t>PEN</t>
        </is>
      </c>
    </row>
    <row r="396">
      <c r="A396" s="84" t="n">
        <v>32003997</v>
      </c>
      <c r="B396" s="67" t="inlineStr">
        <is>
          <t>TPSU</t>
        </is>
      </c>
      <c r="C396" s="90" t="inlineStr">
        <is>
          <t>L001</t>
        </is>
      </c>
      <c r="D396" s="84" t="n">
        <v>1060705</v>
      </c>
      <c r="E396" s="80" t="inlineStr">
        <is>
          <t>CINTA SEÑALIZACION ROJA 15CMX4 MICRAS</t>
        </is>
      </c>
      <c r="F396" s="67" t="inlineStr">
        <is>
          <t>ROL</t>
        </is>
      </c>
      <c r="G396" s="84" t="n">
        <v>10</v>
      </c>
      <c r="H396" s="57" t="inlineStr"/>
      <c r="I396" s="139" t="n">
        <v>327.5</v>
      </c>
      <c r="J396" s="140" t="n">
        <v>32.75</v>
      </c>
      <c r="K396" s="86" t="inlineStr">
        <is>
          <t>PEN</t>
        </is>
      </c>
    </row>
    <row r="397">
      <c r="A397" s="84" t="n">
        <v>32003996</v>
      </c>
      <c r="B397" s="67" t="inlineStr">
        <is>
          <t>TPSU</t>
        </is>
      </c>
      <c r="C397" s="90" t="inlineStr">
        <is>
          <t>L001</t>
        </is>
      </c>
      <c r="D397" s="84" t="n">
        <v>1060706</v>
      </c>
      <c r="E397" s="80" t="inlineStr">
        <is>
          <t>CINTA SEÑALIZACION AMARILLA 15CMX4 MICRA</t>
        </is>
      </c>
      <c r="F397" s="67" t="inlineStr">
        <is>
          <t>ROL</t>
        </is>
      </c>
      <c r="G397" s="84" t="n">
        <v>12</v>
      </c>
      <c r="H397" s="57" t="inlineStr"/>
      <c r="I397" s="139" t="n">
        <v>401.34</v>
      </c>
      <c r="J397" s="140" t="n">
        <v>33.445</v>
      </c>
      <c r="K397" s="86" t="inlineStr">
        <is>
          <t>PEN</t>
        </is>
      </c>
    </row>
    <row r="398">
      <c r="A398" s="84" t="n">
        <v>32003917</v>
      </c>
      <c r="B398" s="67" t="inlineStr">
        <is>
          <t>TPSU</t>
        </is>
      </c>
      <c r="C398" s="90" t="inlineStr">
        <is>
          <t>L001</t>
        </is>
      </c>
      <c r="D398" s="84" t="n">
        <v>1060801</v>
      </c>
      <c r="E398" s="80" t="inlineStr">
        <is>
          <t>CASCO SEGURIDAD POLIETILENO AZUL C/LOGO</t>
        </is>
      </c>
      <c r="F398" s="67" t="inlineStr">
        <is>
          <t>UN</t>
        </is>
      </c>
      <c r="G398" s="84" t="n">
        <v>23</v>
      </c>
      <c r="H398" s="57" t="inlineStr"/>
      <c r="I398" s="139" t="n">
        <v>943.1799999999999</v>
      </c>
      <c r="J398" s="140" t="n">
        <v>41.00782608695652</v>
      </c>
      <c r="K398" s="86" t="inlineStr">
        <is>
          <t>PEN</t>
        </is>
      </c>
    </row>
    <row r="399">
      <c r="A399" s="84" t="n">
        <v>32003918</v>
      </c>
      <c r="B399" s="82" t="inlineStr">
        <is>
          <t>TPSU</t>
        </is>
      </c>
      <c r="C399" s="82" t="inlineStr">
        <is>
          <t>L001</t>
        </is>
      </c>
      <c r="D399" s="84" t="n">
        <v>1060802</v>
      </c>
      <c r="E399" s="80" t="inlineStr">
        <is>
          <t>CASCO SEGURIDAD POLIETILENO BLANCO C/LOG</t>
        </is>
      </c>
      <c r="F399" s="67" t="inlineStr">
        <is>
          <t>UN</t>
        </is>
      </c>
      <c r="G399" s="84" t="n">
        <v>12</v>
      </c>
      <c r="H399" s="57" t="inlineStr"/>
      <c r="I399" s="139" t="n">
        <v>434.99</v>
      </c>
      <c r="J399" s="140" t="n">
        <v>36.24916666666667</v>
      </c>
      <c r="K399" s="86" t="inlineStr">
        <is>
          <t>PEN</t>
        </is>
      </c>
    </row>
    <row r="400">
      <c r="A400" s="84" t="n">
        <v>32007140</v>
      </c>
      <c r="B400" s="82" t="inlineStr">
        <is>
          <t>TPSU</t>
        </is>
      </c>
      <c r="C400" s="82" t="inlineStr">
        <is>
          <t>L001</t>
        </is>
      </c>
      <c r="D400" s="84" t="n">
        <v>1060803</v>
      </c>
      <c r="E400" s="80" t="inlineStr">
        <is>
          <t>CARETA FACIAL POLICARBONATO SEMICASCO</t>
        </is>
      </c>
      <c r="F400" s="67" t="inlineStr">
        <is>
          <t>UN</t>
        </is>
      </c>
      <c r="G400" s="84" t="n">
        <v>1</v>
      </c>
      <c r="H400" s="57" t="inlineStr"/>
      <c r="I400" s="139" t="n">
        <v>18.27</v>
      </c>
      <c r="J400" s="140" t="n">
        <v>18.27</v>
      </c>
      <c r="K400" s="86" t="inlineStr">
        <is>
          <t>PEN</t>
        </is>
      </c>
    </row>
    <row r="401">
      <c r="A401" s="84" t="n">
        <v>32006371</v>
      </c>
      <c r="B401" s="82" t="inlineStr">
        <is>
          <t>TPSU</t>
        </is>
      </c>
      <c r="C401" s="82" t="inlineStr">
        <is>
          <t>L001</t>
        </is>
      </c>
      <c r="D401" s="84" t="n">
        <v>1060803</v>
      </c>
      <c r="E401" s="80" t="inlineStr">
        <is>
          <t>CASCO SEGURIDAD POLIETILENO BLANCO S/L</t>
        </is>
      </c>
      <c r="F401" s="67" t="inlineStr">
        <is>
          <t>UN</t>
        </is>
      </c>
      <c r="G401" s="84" t="n">
        <v>2</v>
      </c>
      <c r="H401" s="57" t="inlineStr"/>
      <c r="I401" s="139" t="n">
        <v>58.44</v>
      </c>
      <c r="J401" s="140" t="n">
        <v>29.22</v>
      </c>
      <c r="K401" s="86" t="inlineStr">
        <is>
          <t>PEN</t>
        </is>
      </c>
    </row>
    <row r="402">
      <c r="A402" s="84" t="n">
        <v>32003920</v>
      </c>
      <c r="B402" s="82" t="inlineStr">
        <is>
          <t>TPSU</t>
        </is>
      </c>
      <c r="C402" s="82" t="inlineStr">
        <is>
          <t>L001</t>
        </is>
      </c>
      <c r="D402" s="84" t="n">
        <v>1060803</v>
      </c>
      <c r="E402" s="80" t="inlineStr">
        <is>
          <t>CASCO SEGURIDAD POLIETILENO ROJO C/LOGO</t>
        </is>
      </c>
      <c r="F402" s="67" t="inlineStr">
        <is>
          <t>UN</t>
        </is>
      </c>
      <c r="G402" s="84" t="n">
        <v>5</v>
      </c>
      <c r="H402" s="57" t="inlineStr"/>
      <c r="I402" s="139" t="n">
        <v>204.72</v>
      </c>
      <c r="J402" s="140" t="n">
        <v>40.944</v>
      </c>
      <c r="K402" s="86" t="inlineStr">
        <is>
          <t>PEN</t>
        </is>
      </c>
    </row>
    <row r="403">
      <c r="A403" s="84" t="n">
        <v>32003919</v>
      </c>
      <c r="B403" s="82" t="inlineStr">
        <is>
          <t>TPSU</t>
        </is>
      </c>
      <c r="C403" s="82" t="inlineStr">
        <is>
          <t>L001</t>
        </is>
      </c>
      <c r="D403" s="84" t="n">
        <v>1060804</v>
      </c>
      <c r="E403" s="80" t="inlineStr">
        <is>
          <t>CASCO SEGURIDAD POLIETILENO NARANJA C/L</t>
        </is>
      </c>
      <c r="F403" s="67" t="inlineStr">
        <is>
          <t>UN</t>
        </is>
      </c>
      <c r="G403" s="84" t="n">
        <v>13</v>
      </c>
      <c r="H403" s="57" t="inlineStr"/>
      <c r="I403" s="139" t="n">
        <v>393.35</v>
      </c>
      <c r="J403" s="140" t="n">
        <v>30.25769230769231</v>
      </c>
      <c r="K403" s="86" t="inlineStr">
        <is>
          <t>PEN</t>
        </is>
      </c>
    </row>
    <row r="404">
      <c r="A404" s="84" t="n">
        <v>34003015</v>
      </c>
      <c r="B404" s="82" t="inlineStr">
        <is>
          <t>TPSU</t>
        </is>
      </c>
      <c r="C404" s="82" t="inlineStr">
        <is>
          <t>L001</t>
        </is>
      </c>
      <c r="D404" s="84" t="n">
        <v>1070101</v>
      </c>
      <c r="E404" s="80" t="inlineStr">
        <is>
          <t>BALL BEARING 6119.5002-49</t>
        </is>
      </c>
      <c r="F404" s="67" t="inlineStr">
        <is>
          <t>UN</t>
        </is>
      </c>
      <c r="G404" s="84" t="n">
        <v>4</v>
      </c>
      <c r="H404" s="57" t="inlineStr"/>
      <c r="I404" s="139" t="n">
        <v>396.03</v>
      </c>
      <c r="J404" s="140" t="n">
        <v>99.00749999999999</v>
      </c>
      <c r="K404" s="86" t="inlineStr">
        <is>
          <t>PEN</t>
        </is>
      </c>
    </row>
    <row r="405">
      <c r="A405" s="84" t="n">
        <v>33041058</v>
      </c>
      <c r="B405" s="82" t="inlineStr">
        <is>
          <t>TPSU</t>
        </is>
      </c>
      <c r="C405" s="82" t="inlineStr">
        <is>
          <t>L004</t>
        </is>
      </c>
      <c r="D405" s="84" t="n">
        <v>1070101</v>
      </c>
      <c r="E405" s="80" t="inlineStr">
        <is>
          <t>RODAMIENTO 6200</t>
        </is>
      </c>
      <c r="F405" s="67" t="inlineStr">
        <is>
          <t>UN</t>
        </is>
      </c>
      <c r="G405" s="84" t="n">
        <v>2</v>
      </c>
      <c r="H405" s="57" t="inlineStr"/>
      <c r="I405" s="139" t="n">
        <v>13.01</v>
      </c>
      <c r="J405" s="140" t="n">
        <v>6.505</v>
      </c>
      <c r="K405" s="86" t="inlineStr">
        <is>
          <t>PEN</t>
        </is>
      </c>
    </row>
    <row r="406">
      <c r="A406" s="84" t="n">
        <v>33041083</v>
      </c>
      <c r="B406" s="67" t="inlineStr">
        <is>
          <t>TPSU</t>
        </is>
      </c>
      <c r="C406" s="90" t="inlineStr">
        <is>
          <t>L001</t>
        </is>
      </c>
      <c r="D406" s="84" t="n">
        <v>1070101</v>
      </c>
      <c r="E406" s="80" t="inlineStr">
        <is>
          <t>RODAMIENTO 6205-2Z/C3</t>
        </is>
      </c>
      <c r="F406" s="67" t="inlineStr">
        <is>
          <t>UN</t>
        </is>
      </c>
      <c r="G406" s="84" t="n">
        <v>4</v>
      </c>
      <c r="H406" s="57" t="inlineStr"/>
      <c r="I406" s="139" t="n">
        <v>52.02</v>
      </c>
      <c r="J406" s="140" t="n">
        <v>13.005</v>
      </c>
      <c r="K406" s="86" t="inlineStr">
        <is>
          <t>PEN</t>
        </is>
      </c>
    </row>
    <row r="407">
      <c r="A407" s="84" t="n">
        <v>33041088</v>
      </c>
      <c r="B407" s="82" t="inlineStr">
        <is>
          <t>TPSU</t>
        </is>
      </c>
      <c r="C407" s="82" t="inlineStr">
        <is>
          <t>L001</t>
        </is>
      </c>
      <c r="D407" s="84" t="n">
        <v>1070101</v>
      </c>
      <c r="E407" s="80" t="inlineStr">
        <is>
          <t>RODAMIENTO 6206-2Z/C3</t>
        </is>
      </c>
      <c r="F407" s="67" t="inlineStr">
        <is>
          <t>UN</t>
        </is>
      </c>
      <c r="G407" s="84" t="n">
        <v>11</v>
      </c>
      <c r="H407" s="57" t="inlineStr"/>
      <c r="I407" s="139" t="n">
        <v>199.22</v>
      </c>
      <c r="J407" s="140" t="n">
        <v>18.11090909090909</v>
      </c>
      <c r="K407" s="86" t="inlineStr">
        <is>
          <t>PEN</t>
        </is>
      </c>
    </row>
    <row r="408">
      <c r="A408" s="84" t="n">
        <v>33037498</v>
      </c>
      <c r="B408" s="82" t="inlineStr">
        <is>
          <t>TPSU</t>
        </is>
      </c>
      <c r="C408" s="82" t="inlineStr">
        <is>
          <t>L001</t>
        </is>
      </c>
      <c r="D408" s="84" t="n">
        <v>1070102</v>
      </c>
      <c r="E408" s="80" t="inlineStr">
        <is>
          <t>RODAMIENTO 6213-2RS/C3</t>
        </is>
      </c>
      <c r="F408" s="67" t="inlineStr">
        <is>
          <t>UN</t>
        </is>
      </c>
      <c r="G408" s="84" t="n">
        <v>1</v>
      </c>
      <c r="H408" s="57" t="inlineStr"/>
      <c r="I408" s="139" t="n">
        <v>106.78</v>
      </c>
      <c r="J408" s="140" t="n">
        <v>106.78</v>
      </c>
      <c r="K408" s="86" t="inlineStr">
        <is>
          <t>PEN</t>
        </is>
      </c>
    </row>
    <row r="409">
      <c r="A409" s="84" t="n">
        <v>33037502</v>
      </c>
      <c r="B409" s="82" t="inlineStr">
        <is>
          <t>TPSU</t>
        </is>
      </c>
      <c r="C409" s="82" t="inlineStr">
        <is>
          <t>L001</t>
        </is>
      </c>
      <c r="D409" s="84" t="n">
        <v>1070102</v>
      </c>
      <c r="E409" s="80" t="inlineStr">
        <is>
          <t>RODAMIENTO 6214 M4/C3 SOVQ335</t>
        </is>
      </c>
      <c r="F409" s="67" t="inlineStr">
        <is>
          <t>UN</t>
        </is>
      </c>
      <c r="G409" s="84" t="n">
        <v>1</v>
      </c>
      <c r="H409" s="57" t="inlineStr"/>
      <c r="I409" s="139" t="n">
        <v>500.46</v>
      </c>
      <c r="J409" s="140" t="n">
        <v>500.46</v>
      </c>
      <c r="K409" s="86" t="inlineStr">
        <is>
          <t>PEN</t>
        </is>
      </c>
    </row>
    <row r="410">
      <c r="A410" s="84" t="n">
        <v>33037504</v>
      </c>
      <c r="B410" s="82" t="inlineStr">
        <is>
          <t>TPSU</t>
        </is>
      </c>
      <c r="C410" s="82" t="inlineStr">
        <is>
          <t>L001</t>
        </is>
      </c>
      <c r="D410" s="84" t="n">
        <v>1070102</v>
      </c>
      <c r="E410" s="80" t="inlineStr">
        <is>
          <t>RODAMIENTO 6214-2RS1/C3</t>
        </is>
      </c>
      <c r="F410" s="67" t="inlineStr">
        <is>
          <t>UN</t>
        </is>
      </c>
      <c r="G410" s="84" t="n">
        <v>2</v>
      </c>
      <c r="H410" s="57" t="inlineStr"/>
      <c r="I410" s="139" t="n">
        <v>215.42</v>
      </c>
      <c r="J410" s="140" t="n">
        <v>107.71</v>
      </c>
      <c r="K410" s="86" t="inlineStr">
        <is>
          <t>PEN</t>
        </is>
      </c>
    </row>
    <row r="411">
      <c r="A411" s="84" t="n">
        <v>33037505</v>
      </c>
      <c r="B411" s="82" t="inlineStr">
        <is>
          <t>TPSU</t>
        </is>
      </c>
      <c r="C411" s="82" t="inlineStr">
        <is>
          <t>L001</t>
        </is>
      </c>
      <c r="D411" s="84" t="n">
        <v>1070102</v>
      </c>
      <c r="E411" s="80" t="inlineStr">
        <is>
          <t>RODAMIENTO 6214-2Z/C3</t>
        </is>
      </c>
      <c r="F411" s="67" t="inlineStr">
        <is>
          <t>UN</t>
        </is>
      </c>
      <c r="G411" s="84" t="n">
        <v>2</v>
      </c>
      <c r="H411" s="57" t="inlineStr"/>
      <c r="I411" s="139" t="n">
        <v>239.98</v>
      </c>
      <c r="J411" s="140" t="n">
        <v>119.99</v>
      </c>
      <c r="K411" s="86" t="inlineStr">
        <is>
          <t>PEN</t>
        </is>
      </c>
    </row>
    <row r="412">
      <c r="A412" s="84" t="n">
        <v>33037586</v>
      </c>
      <c r="B412" s="82" t="inlineStr">
        <is>
          <t>TPSU</t>
        </is>
      </c>
      <c r="C412" s="82" t="inlineStr">
        <is>
          <t>L001</t>
        </is>
      </c>
      <c r="D412" s="84" t="n">
        <v>1070102</v>
      </c>
      <c r="E412" s="80" t="inlineStr">
        <is>
          <t>RODAMIENTO 6312-2RS1/C3</t>
        </is>
      </c>
      <c r="F412" s="67" t="inlineStr">
        <is>
          <t>UN</t>
        </is>
      </c>
      <c r="G412" s="84" t="n">
        <v>1</v>
      </c>
      <c r="H412" s="57" t="inlineStr"/>
      <c r="I412" s="139" t="n">
        <v>147.84</v>
      </c>
      <c r="J412" s="140" t="n">
        <v>147.84</v>
      </c>
      <c r="K412" s="86" t="inlineStr">
        <is>
          <t>PEN</t>
        </is>
      </c>
    </row>
    <row r="413">
      <c r="A413" s="84" t="n">
        <v>33041133</v>
      </c>
      <c r="B413" s="82" t="inlineStr">
        <is>
          <t>TPSU</t>
        </is>
      </c>
      <c r="C413" s="82" t="inlineStr">
        <is>
          <t>L004</t>
        </is>
      </c>
      <c r="D413" s="84" t="n">
        <v>1070103</v>
      </c>
      <c r="E413" s="80" t="inlineStr">
        <is>
          <t>RODAMIENTO 6309</t>
        </is>
      </c>
      <c r="F413" s="67" t="inlineStr">
        <is>
          <t>UN</t>
        </is>
      </c>
      <c r="G413" s="84" t="n">
        <v>1</v>
      </c>
      <c r="H413" s="57" t="inlineStr"/>
      <c r="I413" s="139" t="n">
        <v>38.97</v>
      </c>
      <c r="J413" s="140" t="n">
        <v>38.97</v>
      </c>
      <c r="K413" s="86" t="inlineStr">
        <is>
          <t>PEN</t>
        </is>
      </c>
    </row>
    <row r="414">
      <c r="A414" s="84" t="n">
        <v>33037160</v>
      </c>
      <c r="B414" s="82" t="inlineStr">
        <is>
          <t>TPSU</t>
        </is>
      </c>
      <c r="C414" s="82" t="inlineStr">
        <is>
          <t>L001</t>
        </is>
      </c>
      <c r="D414" s="84" t="n">
        <v>1070104</v>
      </c>
      <c r="E414" s="80" t="inlineStr">
        <is>
          <t>RODAMIENTO 22210 E</t>
        </is>
      </c>
      <c r="F414" s="67" t="inlineStr">
        <is>
          <t>UN</t>
        </is>
      </c>
      <c r="G414" s="84" t="n">
        <v>1</v>
      </c>
      <c r="H414" s="57" t="inlineStr"/>
      <c r="I414" s="139" t="n">
        <v>199.97</v>
      </c>
      <c r="J414" s="140" t="n">
        <v>199.97</v>
      </c>
      <c r="K414" s="86" t="inlineStr">
        <is>
          <t>PEN</t>
        </is>
      </c>
    </row>
    <row r="415">
      <c r="A415" s="84" t="n">
        <v>33041138</v>
      </c>
      <c r="B415" s="82" t="inlineStr">
        <is>
          <t>TPSU</t>
        </is>
      </c>
      <c r="C415" s="82" t="inlineStr">
        <is>
          <t>L001</t>
        </is>
      </c>
      <c r="D415" s="84" t="n">
        <v>1070104</v>
      </c>
      <c r="E415" s="80" t="inlineStr">
        <is>
          <t>RODAMIENTO 6309-2Z/C3</t>
        </is>
      </c>
      <c r="F415" s="67" t="inlineStr">
        <is>
          <t>UN</t>
        </is>
      </c>
      <c r="G415" s="84" t="n">
        <v>3</v>
      </c>
      <c r="H415" s="57" t="inlineStr"/>
      <c r="I415" s="139" t="n">
        <v>163.62</v>
      </c>
      <c r="J415" s="140" t="n">
        <v>54.54</v>
      </c>
      <c r="K415" s="86" t="inlineStr">
        <is>
          <t>PEN</t>
        </is>
      </c>
    </row>
    <row r="416">
      <c r="A416" s="84" t="n">
        <v>33037575</v>
      </c>
      <c r="B416" s="82" t="inlineStr">
        <is>
          <t>TPSU</t>
        </is>
      </c>
      <c r="C416" s="82" t="inlineStr">
        <is>
          <t>L001</t>
        </is>
      </c>
      <c r="D416" s="84" t="n">
        <v>1070104</v>
      </c>
      <c r="E416" s="80" t="inlineStr">
        <is>
          <t>RODAMIENTO 6310 2RS1/C3</t>
        </is>
      </c>
      <c r="F416" s="67" t="inlineStr">
        <is>
          <t>UN</t>
        </is>
      </c>
      <c r="G416" s="84" t="n">
        <v>2</v>
      </c>
      <c r="H416" s="57" t="inlineStr"/>
      <c r="I416" s="139" t="n">
        <v>186.25</v>
      </c>
      <c r="J416" s="140" t="n">
        <v>93.125</v>
      </c>
      <c r="K416" s="86" t="inlineStr">
        <is>
          <t>PEN</t>
        </is>
      </c>
    </row>
    <row r="417">
      <c r="A417" s="84" t="n">
        <v>33037587</v>
      </c>
      <c r="B417" s="82" t="inlineStr">
        <is>
          <t>TPSU</t>
        </is>
      </c>
      <c r="C417" s="82" t="inlineStr">
        <is>
          <t>L001</t>
        </is>
      </c>
      <c r="D417" s="84" t="n">
        <v>1070104</v>
      </c>
      <c r="E417" s="80" t="inlineStr">
        <is>
          <t>RODAMIENTO 6312-2Z/C3</t>
        </is>
      </c>
      <c r="F417" s="67" t="inlineStr">
        <is>
          <t>UN</t>
        </is>
      </c>
      <c r="G417" s="84" t="n">
        <v>2</v>
      </c>
      <c r="H417" s="57" t="inlineStr"/>
      <c r="I417" s="139" t="n">
        <v>246.58</v>
      </c>
      <c r="J417" s="140" t="n">
        <v>123.29</v>
      </c>
      <c r="K417" s="86" t="inlineStr">
        <is>
          <t>PEN</t>
        </is>
      </c>
    </row>
    <row r="418">
      <c r="A418" s="84" t="n">
        <v>33037273</v>
      </c>
      <c r="B418" s="82" t="inlineStr">
        <is>
          <t>TPSU</t>
        </is>
      </c>
      <c r="C418" s="82" t="inlineStr">
        <is>
          <t>L001</t>
        </is>
      </c>
      <c r="D418" s="84" t="n">
        <v>1070201</v>
      </c>
      <c r="E418" s="80" t="inlineStr">
        <is>
          <t>RODAMIENTO 30209</t>
        </is>
      </c>
      <c r="F418" s="67" t="inlineStr">
        <is>
          <t>UN</t>
        </is>
      </c>
      <c r="G418" s="84" t="n">
        <v>1</v>
      </c>
      <c r="H418" s="57" t="inlineStr"/>
      <c r="I418" s="139" t="n">
        <v>55.3</v>
      </c>
      <c r="J418" s="140" t="n">
        <v>55.3</v>
      </c>
      <c r="K418" s="86" t="inlineStr">
        <is>
          <t>PEN</t>
        </is>
      </c>
    </row>
    <row r="419">
      <c r="A419" s="84" t="n">
        <v>33041001</v>
      </c>
      <c r="B419" s="82" t="inlineStr">
        <is>
          <t>TPSU</t>
        </is>
      </c>
      <c r="C419" s="82" t="inlineStr">
        <is>
          <t>L004</t>
        </is>
      </c>
      <c r="D419" s="84" t="n">
        <v>1070201</v>
      </c>
      <c r="E419" s="80" t="inlineStr">
        <is>
          <t>RODAMIENTO 3305</t>
        </is>
      </c>
      <c r="F419" s="67" t="inlineStr">
        <is>
          <t>UN</t>
        </is>
      </c>
      <c r="G419" s="84" t="n">
        <v>1</v>
      </c>
      <c r="H419" s="57" t="inlineStr"/>
      <c r="I419" s="139" t="n">
        <v>131.52</v>
      </c>
      <c r="J419" s="140" t="n">
        <v>131.52</v>
      </c>
      <c r="K419" s="86" t="inlineStr">
        <is>
          <t>PEN</t>
        </is>
      </c>
    </row>
    <row r="420">
      <c r="A420" s="84" t="n">
        <v>33041024</v>
      </c>
      <c r="B420" s="82" t="inlineStr">
        <is>
          <t>TPSU</t>
        </is>
      </c>
      <c r="C420" s="82" t="inlineStr">
        <is>
          <t>L001</t>
        </is>
      </c>
      <c r="D420" s="84" t="n">
        <v>1070201</v>
      </c>
      <c r="E420" s="80" t="inlineStr">
        <is>
          <t>RODAMIENTO 3310 ATN9</t>
        </is>
      </c>
      <c r="F420" s="67" t="inlineStr">
        <is>
          <t>UN</t>
        </is>
      </c>
      <c r="G420" s="84" t="n">
        <v>1</v>
      </c>
      <c r="H420" s="57" t="inlineStr"/>
      <c r="I420" s="139" t="n">
        <v>187.8</v>
      </c>
      <c r="J420" s="140" t="n">
        <v>187.8</v>
      </c>
      <c r="K420" s="86" t="inlineStr">
        <is>
          <t>PEN</t>
        </is>
      </c>
    </row>
    <row r="421">
      <c r="A421" s="84" t="n">
        <v>33037157</v>
      </c>
      <c r="B421" s="82" t="inlineStr">
        <is>
          <t>TPSU</t>
        </is>
      </c>
      <c r="C421" s="82" t="inlineStr">
        <is>
          <t>L001</t>
        </is>
      </c>
      <c r="D421" s="84" t="n">
        <v>1070202</v>
      </c>
      <c r="E421" s="80" t="inlineStr">
        <is>
          <t>RODAMIENTO 22207 CC/W33</t>
        </is>
      </c>
      <c r="F421" s="67" t="inlineStr">
        <is>
          <t>UN</t>
        </is>
      </c>
      <c r="G421" s="84" t="n">
        <v>1</v>
      </c>
      <c r="H421" s="57" t="inlineStr"/>
      <c r="I421" s="139" t="n">
        <v>97.90000000000001</v>
      </c>
      <c r="J421" s="140" t="n">
        <v>97.90000000000001</v>
      </c>
      <c r="K421" s="86" t="inlineStr">
        <is>
          <t>PEN</t>
        </is>
      </c>
    </row>
    <row r="422">
      <c r="A422" s="84" t="n">
        <v>33037175</v>
      </c>
      <c r="B422" s="82" t="inlineStr">
        <is>
          <t>TPSU</t>
        </is>
      </c>
      <c r="C422" s="82" t="inlineStr">
        <is>
          <t>L001</t>
        </is>
      </c>
      <c r="D422" s="84" t="n">
        <v>1070202</v>
      </c>
      <c r="E422" s="80" t="inlineStr">
        <is>
          <t>RODAMIENTO 22216 CK</t>
        </is>
      </c>
      <c r="F422" s="67" t="inlineStr">
        <is>
          <t>UN</t>
        </is>
      </c>
      <c r="G422" s="84" t="n">
        <v>1</v>
      </c>
      <c r="H422" s="57" t="inlineStr"/>
      <c r="I422" s="139" t="n">
        <v>360.41</v>
      </c>
      <c r="J422" s="140" t="n">
        <v>360.41</v>
      </c>
      <c r="K422" s="86" t="inlineStr">
        <is>
          <t>PEN</t>
        </is>
      </c>
    </row>
    <row r="423">
      <c r="A423" s="84" t="n">
        <v>33041221</v>
      </c>
      <c r="B423" s="82" t="inlineStr">
        <is>
          <t>TPSU</t>
        </is>
      </c>
      <c r="C423" s="82" t="inlineStr">
        <is>
          <t>L001</t>
        </is>
      </c>
      <c r="D423" s="84" t="n">
        <v>1070203</v>
      </c>
      <c r="E423" s="80" t="inlineStr">
        <is>
          <t>RODAMIENTO NU 220 ECJ</t>
        </is>
      </c>
      <c r="F423" s="67" t="inlineStr">
        <is>
          <t>UN</t>
        </is>
      </c>
      <c r="G423" s="84" t="n">
        <v>1</v>
      </c>
      <c r="H423" s="57" t="inlineStr"/>
      <c r="I423" s="139" t="n">
        <v>536.97</v>
      </c>
      <c r="J423" s="140" t="n">
        <v>536.97</v>
      </c>
      <c r="K423" s="86" t="inlineStr">
        <is>
          <t>PEN</t>
        </is>
      </c>
    </row>
    <row r="424">
      <c r="A424" s="84" t="n">
        <v>33037209</v>
      </c>
      <c r="B424" s="82" t="inlineStr">
        <is>
          <t>TPSU</t>
        </is>
      </c>
      <c r="C424" s="82" t="inlineStr">
        <is>
          <t>L001</t>
        </is>
      </c>
      <c r="D424" s="84" t="n">
        <v>1070204</v>
      </c>
      <c r="E424" s="80" t="inlineStr">
        <is>
          <t>RODAMIENTO 22316 EK</t>
        </is>
      </c>
      <c r="F424" s="67" t="inlineStr">
        <is>
          <t>UN</t>
        </is>
      </c>
      <c r="G424" s="84" t="n">
        <v>1</v>
      </c>
      <c r="H424" s="57" t="inlineStr"/>
      <c r="I424" s="139" t="n">
        <v>484.8</v>
      </c>
      <c r="J424" s="140" t="n">
        <v>484.8</v>
      </c>
      <c r="K424" s="86" t="inlineStr">
        <is>
          <t>PEN</t>
        </is>
      </c>
    </row>
    <row r="425">
      <c r="A425" s="84" t="n">
        <v>33037600</v>
      </c>
      <c r="B425" s="82" t="inlineStr">
        <is>
          <t>TPSU</t>
        </is>
      </c>
      <c r="C425" s="82" t="inlineStr">
        <is>
          <t>L001</t>
        </is>
      </c>
      <c r="D425" s="84" t="n">
        <v>1070204</v>
      </c>
      <c r="E425" s="80" t="inlineStr">
        <is>
          <t>RODAMIENTO 6314-2Z/C3</t>
        </is>
      </c>
      <c r="F425" s="67" t="inlineStr">
        <is>
          <t>UN</t>
        </is>
      </c>
      <c r="G425" s="84" t="n">
        <v>2</v>
      </c>
      <c r="H425" s="57" t="inlineStr"/>
      <c r="I425" s="139" t="n">
        <v>433.67</v>
      </c>
      <c r="J425" s="140" t="n">
        <v>216.835</v>
      </c>
      <c r="K425" s="86" t="inlineStr">
        <is>
          <t>PEN</t>
        </is>
      </c>
    </row>
    <row r="426">
      <c r="A426" s="84" t="n">
        <v>33037121</v>
      </c>
      <c r="B426" s="82" t="inlineStr">
        <is>
          <t>TPSU</t>
        </is>
      </c>
      <c r="C426" s="82" t="inlineStr">
        <is>
          <t>L001</t>
        </is>
      </c>
      <c r="D426" s="84" t="n">
        <v>1070205</v>
      </c>
      <c r="E426" s="80" t="inlineStr">
        <is>
          <t>RODAJE 23128 ECK</t>
        </is>
      </c>
      <c r="F426" s="67" t="inlineStr">
        <is>
          <t>UN</t>
        </is>
      </c>
      <c r="G426" s="84" t="n">
        <v>2</v>
      </c>
      <c r="H426" s="57" t="inlineStr"/>
      <c r="I426" s="139" t="n">
        <v>2792.16</v>
      </c>
      <c r="J426" s="140" t="n">
        <v>1396.08</v>
      </c>
      <c r="K426" s="86" t="inlineStr">
        <is>
          <t>PEN</t>
        </is>
      </c>
    </row>
    <row r="427">
      <c r="A427" s="84" t="n">
        <v>33037221</v>
      </c>
      <c r="B427" s="82" t="inlineStr">
        <is>
          <t>TPSU</t>
        </is>
      </c>
      <c r="C427" s="82" t="inlineStr">
        <is>
          <t>L001</t>
        </is>
      </c>
      <c r="D427" s="84" t="n">
        <v>1070205</v>
      </c>
      <c r="E427" s="80" t="inlineStr">
        <is>
          <t>RODAMIENTO 22320 CK</t>
        </is>
      </c>
      <c r="F427" s="67" t="inlineStr">
        <is>
          <t>UN</t>
        </is>
      </c>
      <c r="G427" s="84" t="n">
        <v>2</v>
      </c>
      <c r="H427" s="57" t="inlineStr"/>
      <c r="I427" s="139" t="n">
        <v>2667.62</v>
      </c>
      <c r="J427" s="140" t="n">
        <v>1333.81</v>
      </c>
      <c r="K427" s="86" t="inlineStr">
        <is>
          <t>PEN</t>
        </is>
      </c>
    </row>
    <row r="428">
      <c r="A428" s="84" t="n">
        <v>33032134</v>
      </c>
      <c r="B428" s="82" t="inlineStr">
        <is>
          <t>TPSU</t>
        </is>
      </c>
      <c r="C428" s="82" t="inlineStr">
        <is>
          <t>L001</t>
        </is>
      </c>
      <c r="D428" s="84" t="n">
        <v>1070301</v>
      </c>
      <c r="E428" s="80" t="inlineStr">
        <is>
          <t>ELEMENTO FLEX. P/ACOPLE OMEGA E10</t>
        </is>
      </c>
      <c r="F428" s="67" t="inlineStr">
        <is>
          <t>UN</t>
        </is>
      </c>
      <c r="G428" s="84" t="n">
        <v>9</v>
      </c>
      <c r="H428" s="57" t="inlineStr"/>
      <c r="I428" s="139" t="n">
        <v>3880.81</v>
      </c>
      <c r="J428" s="140" t="n">
        <v>431.2011111111111</v>
      </c>
      <c r="K428" s="86" t="inlineStr">
        <is>
          <t>PEN</t>
        </is>
      </c>
    </row>
    <row r="429">
      <c r="A429" s="84" t="n">
        <v>31008197</v>
      </c>
      <c r="B429" s="82" t="inlineStr">
        <is>
          <t>TPSU</t>
        </is>
      </c>
      <c r="C429" s="82" t="inlineStr">
        <is>
          <t>L001</t>
        </is>
      </c>
      <c r="D429" s="84" t="n">
        <v>1070303</v>
      </c>
      <c r="E429" s="80" t="inlineStr">
        <is>
          <t>ACOPLADOR FLANGE FULL-FLEX F 2.5E - LOVE</t>
        </is>
      </c>
      <c r="F429" s="67" t="inlineStr">
        <is>
          <t>JGO</t>
        </is>
      </c>
      <c r="G429" s="84" t="n">
        <v>1</v>
      </c>
      <c r="H429" s="57" t="inlineStr"/>
      <c r="I429" s="139" t="n">
        <v>2452.81</v>
      </c>
      <c r="J429" s="140" t="n">
        <v>2452.81</v>
      </c>
      <c r="K429" s="86" t="inlineStr">
        <is>
          <t>PEN</t>
        </is>
      </c>
    </row>
    <row r="430">
      <c r="A430" s="84" t="n">
        <v>33029542</v>
      </c>
      <c r="B430" s="82" t="inlineStr">
        <is>
          <t>TPSU</t>
        </is>
      </c>
      <c r="C430" s="82" t="inlineStr">
        <is>
          <t>L001</t>
        </is>
      </c>
      <c r="D430" s="84" t="n">
        <v>1070303</v>
      </c>
      <c r="E430" s="80" t="inlineStr">
        <is>
          <t>ACOPLAMIENTO OMEGA E30</t>
        </is>
      </c>
      <c r="F430" s="67" t="inlineStr">
        <is>
          <t>UN</t>
        </is>
      </c>
      <c r="G430" s="84" t="n">
        <v>1</v>
      </c>
      <c r="H430" s="57" t="inlineStr"/>
      <c r="I430" s="139" t="n">
        <v>1595.88</v>
      </c>
      <c r="J430" s="140" t="n">
        <v>1595.88</v>
      </c>
      <c r="K430" s="86" t="inlineStr">
        <is>
          <t>PEN</t>
        </is>
      </c>
    </row>
    <row r="431">
      <c r="A431" s="84" t="n">
        <v>33029546</v>
      </c>
      <c r="B431" s="82" t="inlineStr">
        <is>
          <t>TPSU</t>
        </is>
      </c>
      <c r="C431" s="82" t="inlineStr">
        <is>
          <t>L001</t>
        </is>
      </c>
      <c r="D431" s="84" t="n">
        <v>1070303</v>
      </c>
      <c r="E431" s="80" t="inlineStr">
        <is>
          <t>ACOPLAMIENTO OMEGA HSU E10</t>
        </is>
      </c>
      <c r="F431" s="67" t="inlineStr">
        <is>
          <t>UN</t>
        </is>
      </c>
      <c r="G431" s="84" t="n">
        <v>1</v>
      </c>
      <c r="H431" s="57" t="inlineStr"/>
      <c r="I431" s="139" t="n">
        <v>1144.02</v>
      </c>
      <c r="J431" s="140" t="n">
        <v>1144.02</v>
      </c>
      <c r="K431" s="86" t="inlineStr">
        <is>
          <t>PEN</t>
        </is>
      </c>
    </row>
    <row r="432">
      <c r="A432" s="84" t="n">
        <v>33032136</v>
      </c>
      <c r="B432" s="82" t="inlineStr">
        <is>
          <t>TPSU</t>
        </is>
      </c>
      <c r="C432" s="82" t="inlineStr">
        <is>
          <t>L001</t>
        </is>
      </c>
      <c r="D432" s="84" t="n">
        <v>1070303</v>
      </c>
      <c r="E432" s="80" t="inlineStr">
        <is>
          <t>ELEMENTO FLEX. P/ACOPLE OMEGA E20</t>
        </is>
      </c>
      <c r="F432" s="67" t="inlineStr">
        <is>
          <t>UN</t>
        </is>
      </c>
      <c r="G432" s="84" t="n">
        <v>1</v>
      </c>
      <c r="H432" s="57" t="inlineStr"/>
      <c r="I432" s="139" t="n">
        <v>618.6</v>
      </c>
      <c r="J432" s="140" t="n">
        <v>618.6</v>
      </c>
      <c r="K432" s="86" t="inlineStr">
        <is>
          <t>PEN</t>
        </is>
      </c>
    </row>
    <row r="433">
      <c r="A433" s="84" t="n">
        <v>33031066</v>
      </c>
      <c r="B433" s="67" t="inlineStr">
        <is>
          <t>TPSU</t>
        </is>
      </c>
      <c r="C433" s="90" t="inlineStr">
        <is>
          <t>L001</t>
        </is>
      </c>
      <c r="D433" s="84" t="n">
        <v>1070304</v>
      </c>
      <c r="E433" s="80" t="inlineStr">
        <is>
          <t>CHUMACERA PARED F212</t>
        </is>
      </c>
      <c r="F433" s="67" t="inlineStr">
        <is>
          <t>UN</t>
        </is>
      </c>
      <c r="G433" s="84" t="n">
        <v>2</v>
      </c>
      <c r="H433" s="57" t="inlineStr"/>
      <c r="I433" s="139" t="n">
        <v>294.22</v>
      </c>
      <c r="J433" s="140" t="n">
        <v>147.11</v>
      </c>
      <c r="K433" s="86" t="inlineStr">
        <is>
          <t>PEN</t>
        </is>
      </c>
    </row>
    <row r="434">
      <c r="A434" s="84" t="n">
        <v>33031083</v>
      </c>
      <c r="B434" s="67" t="inlineStr">
        <is>
          <t>TPSU</t>
        </is>
      </c>
      <c r="C434" s="90" t="inlineStr">
        <is>
          <t>L001</t>
        </is>
      </c>
      <c r="D434" s="84" t="n">
        <v>1070304</v>
      </c>
      <c r="E434" s="80" t="inlineStr">
        <is>
          <t>CHUMACERA PARED LIVIANA UCF 208-1 1/2"</t>
        </is>
      </c>
      <c r="F434" s="67" t="inlineStr">
        <is>
          <t>UN</t>
        </is>
      </c>
      <c r="G434" s="84" t="n">
        <v>1</v>
      </c>
      <c r="H434" s="57" t="inlineStr">
        <is>
          <t>218305</t>
        </is>
      </c>
      <c r="I434" s="139" t="n">
        <v>109.59</v>
      </c>
      <c r="J434" s="140" t="n">
        <v>109.59</v>
      </c>
      <c r="K434" s="86" t="inlineStr">
        <is>
          <t>PEN</t>
        </is>
      </c>
    </row>
    <row r="435">
      <c r="A435" s="84" t="n">
        <v>33031085</v>
      </c>
      <c r="B435" s="67" t="inlineStr">
        <is>
          <t>TPSU</t>
        </is>
      </c>
      <c r="C435" s="90" t="inlineStr">
        <is>
          <t>L001</t>
        </is>
      </c>
      <c r="D435" s="84" t="n">
        <v>1070304</v>
      </c>
      <c r="E435" s="80" t="inlineStr">
        <is>
          <t>CHUMACERA PARED LIVIANA UCF 211-55 MM</t>
        </is>
      </c>
      <c r="F435" s="67" t="inlineStr">
        <is>
          <t>UN</t>
        </is>
      </c>
      <c r="G435" s="84" t="n">
        <v>1</v>
      </c>
      <c r="H435" s="57" t="inlineStr"/>
      <c r="I435" s="139" t="n">
        <v>100.74</v>
      </c>
      <c r="J435" s="140" t="n">
        <v>100.74</v>
      </c>
      <c r="K435" s="86" t="inlineStr">
        <is>
          <t>PEN</t>
        </is>
      </c>
    </row>
    <row r="436">
      <c r="A436" s="84" t="n">
        <v>33031116</v>
      </c>
      <c r="B436" s="67" t="inlineStr">
        <is>
          <t>TPSU</t>
        </is>
      </c>
      <c r="C436" s="90" t="inlineStr">
        <is>
          <t>L001</t>
        </is>
      </c>
      <c r="D436" s="84" t="n">
        <v>1070304</v>
      </c>
      <c r="E436" s="80" t="inlineStr">
        <is>
          <t>CHUMACERA PIE ENTERA LIVIANA UCP210-50MM</t>
        </is>
      </c>
      <c r="F436" s="67" t="inlineStr">
        <is>
          <t>UN</t>
        </is>
      </c>
      <c r="G436" s="84" t="n">
        <v>8</v>
      </c>
      <c r="H436" s="57" t="inlineStr"/>
      <c r="I436" s="139" t="n">
        <v>858.01</v>
      </c>
      <c r="J436" s="140" t="n">
        <v>107.25125</v>
      </c>
      <c r="K436" s="86" t="inlineStr">
        <is>
          <t>PEN</t>
        </is>
      </c>
    </row>
    <row r="437">
      <c r="A437" s="84" t="n">
        <v>33031101</v>
      </c>
      <c r="B437" s="67" t="inlineStr">
        <is>
          <t>TPSU</t>
        </is>
      </c>
      <c r="C437" s="90" t="inlineStr">
        <is>
          <t>L001</t>
        </is>
      </c>
      <c r="D437" s="84" t="n">
        <v>1070305</v>
      </c>
      <c r="E437" s="80" t="inlineStr">
        <is>
          <t>CHUMACERA PARED UC F-315 300 D1</t>
        </is>
      </c>
      <c r="F437" s="67" t="inlineStr">
        <is>
          <t>UN</t>
        </is>
      </c>
      <c r="G437" s="84" t="n">
        <v>2</v>
      </c>
      <c r="H437" s="57" t="inlineStr"/>
      <c r="I437" s="139" t="n">
        <v>900.5</v>
      </c>
      <c r="J437" s="140" t="n">
        <v>450.25</v>
      </c>
      <c r="K437" s="86" t="inlineStr">
        <is>
          <t>PEN</t>
        </is>
      </c>
    </row>
    <row r="438">
      <c r="A438" s="84" t="n">
        <v>33031140</v>
      </c>
      <c r="B438" s="67" t="inlineStr">
        <is>
          <t>TPSU</t>
        </is>
      </c>
      <c r="C438" s="90" t="inlineStr">
        <is>
          <t>L001</t>
        </is>
      </c>
      <c r="D438" s="84" t="n">
        <v>1070305</v>
      </c>
      <c r="E438" s="80" t="inlineStr">
        <is>
          <t>CHUMACERA PIE UCP 210</t>
        </is>
      </c>
      <c r="F438" s="67" t="inlineStr">
        <is>
          <t>UN</t>
        </is>
      </c>
      <c r="G438" s="84" t="n">
        <v>2</v>
      </c>
      <c r="H438" s="57" t="inlineStr"/>
      <c r="I438" s="139" t="n">
        <v>212.41</v>
      </c>
      <c r="J438" s="140" t="n">
        <v>106.205</v>
      </c>
      <c r="K438" s="86" t="inlineStr">
        <is>
          <t>PEN</t>
        </is>
      </c>
    </row>
    <row r="439">
      <c r="A439" s="84" t="n">
        <v>33031140</v>
      </c>
      <c r="B439" s="67" t="inlineStr">
        <is>
          <t>TPSU</t>
        </is>
      </c>
      <c r="C439" s="90" t="inlineStr">
        <is>
          <t>L001</t>
        </is>
      </c>
      <c r="D439" s="84" t="n">
        <v>1070305</v>
      </c>
      <c r="E439" s="80" t="inlineStr">
        <is>
          <t>CHUMACERA PIE UCP 210</t>
        </is>
      </c>
      <c r="F439" s="67" t="inlineStr">
        <is>
          <t>UN</t>
        </is>
      </c>
      <c r="G439" s="84" t="n">
        <v>8</v>
      </c>
      <c r="H439" s="57" t="inlineStr"/>
      <c r="I439" s="139" t="n">
        <v>818.5700000000001</v>
      </c>
      <c r="J439" s="140" t="n">
        <v>102.32125</v>
      </c>
      <c r="K439" s="86" t="inlineStr">
        <is>
          <t>PEN</t>
        </is>
      </c>
    </row>
    <row r="440">
      <c r="A440" s="84" t="n">
        <v>33032271</v>
      </c>
      <c r="B440" s="67" t="inlineStr">
        <is>
          <t>TPSU</t>
        </is>
      </c>
      <c r="C440" s="90" t="inlineStr">
        <is>
          <t>L001</t>
        </is>
      </c>
      <c r="D440" s="84" t="n">
        <v>1070401</v>
      </c>
      <c r="E440" s="80" t="inlineStr">
        <is>
          <t>ESPACIADOR FRB 10/120</t>
        </is>
      </c>
      <c r="F440" s="67" t="inlineStr">
        <is>
          <t>UN</t>
        </is>
      </c>
      <c r="G440" s="84" t="n">
        <v>4</v>
      </c>
      <c r="H440" s="57" t="inlineStr"/>
      <c r="I440" s="139" t="n">
        <v>49.06</v>
      </c>
      <c r="J440" s="140" t="n">
        <v>12.265</v>
      </c>
      <c r="K440" s="86" t="inlineStr">
        <is>
          <t>PEN</t>
        </is>
      </c>
    </row>
    <row r="441">
      <c r="A441" s="84" t="n">
        <v>34002991</v>
      </c>
      <c r="B441" s="67" t="inlineStr">
        <is>
          <t>TPSU</t>
        </is>
      </c>
      <c r="C441" s="90" t="inlineStr">
        <is>
          <t>L004</t>
        </is>
      </c>
      <c r="D441" s="84" t="n">
        <v>1070401</v>
      </c>
      <c r="E441" s="80" t="inlineStr">
        <is>
          <t>KIT ACTUADOR 1-1/2, 2-1/2" 9611920008</t>
        </is>
      </c>
      <c r="F441" s="67" t="inlineStr">
        <is>
          <t>UN</t>
        </is>
      </c>
      <c r="G441" s="84" t="n">
        <v>7</v>
      </c>
      <c r="H441" s="57" t="inlineStr"/>
      <c r="I441" s="139" t="n">
        <v>680.27</v>
      </c>
      <c r="J441" s="140" t="n">
        <v>97.18142857142857</v>
      </c>
      <c r="K441" s="86" t="inlineStr">
        <is>
          <t>PEN</t>
        </is>
      </c>
    </row>
    <row r="442">
      <c r="A442" s="84" t="n">
        <v>33035295</v>
      </c>
      <c r="B442" s="67" t="inlineStr">
        <is>
          <t>TPSU</t>
        </is>
      </c>
      <c r="C442" s="90" t="inlineStr">
        <is>
          <t>L001</t>
        </is>
      </c>
      <c r="D442" s="84" t="n">
        <v>1070401</v>
      </c>
      <c r="E442" s="80" t="inlineStr">
        <is>
          <t>OBTURADOR TSN 513 L</t>
        </is>
      </c>
      <c r="F442" s="67" t="inlineStr">
        <is>
          <t>UN</t>
        </is>
      </c>
      <c r="G442" s="84" t="n">
        <v>2</v>
      </c>
      <c r="H442" s="57" t="inlineStr"/>
      <c r="I442" s="139" t="n">
        <v>59.03</v>
      </c>
      <c r="J442" s="140" t="n">
        <v>29.515</v>
      </c>
      <c r="K442" s="86" t="inlineStr">
        <is>
          <t>PEN</t>
        </is>
      </c>
    </row>
    <row r="443">
      <c r="A443" s="84" t="n">
        <v>34003012</v>
      </c>
      <c r="B443" s="67" t="inlineStr">
        <is>
          <t>TPSU</t>
        </is>
      </c>
      <c r="C443" s="90" t="inlineStr">
        <is>
          <t>L004</t>
        </is>
      </c>
      <c r="D443" s="84" t="n">
        <v>1070401</v>
      </c>
      <c r="E443" s="80" t="inlineStr">
        <is>
          <t>RECTANGULAR RING 65235</t>
        </is>
      </c>
      <c r="F443" s="67" t="inlineStr">
        <is>
          <t>UN</t>
        </is>
      </c>
      <c r="G443" s="84" t="n">
        <v>1</v>
      </c>
      <c r="H443" s="57" t="inlineStr"/>
      <c r="I443" s="139" t="n">
        <v>57.28</v>
      </c>
      <c r="J443" s="140" t="n">
        <v>57.28</v>
      </c>
      <c r="K443" s="86" t="inlineStr">
        <is>
          <t>PEN</t>
        </is>
      </c>
    </row>
    <row r="444">
      <c r="A444" s="84" t="n">
        <v>33042222</v>
      </c>
      <c r="B444" s="67" t="inlineStr">
        <is>
          <t>TPSU</t>
        </is>
      </c>
      <c r="C444" s="90" t="inlineStr">
        <is>
          <t>L001</t>
        </is>
      </c>
      <c r="D444" s="84" t="n">
        <v>1070401</v>
      </c>
      <c r="E444" s="80" t="inlineStr">
        <is>
          <t>SHAFT SEAL DIN3760 100 80 10 – FKM AS</t>
        </is>
      </c>
      <c r="F444" s="67" t="inlineStr">
        <is>
          <t>UN</t>
        </is>
      </c>
      <c r="G444" s="84" t="n">
        <v>2</v>
      </c>
      <c r="H444" s="57" t="inlineStr"/>
      <c r="I444" s="139" t="n">
        <v>174.42</v>
      </c>
      <c r="J444" s="140" t="n">
        <v>87.20999999999999</v>
      </c>
      <c r="K444" s="86" t="inlineStr">
        <is>
          <t>PEN</t>
        </is>
      </c>
    </row>
    <row r="445">
      <c r="A445" s="84" t="n">
        <v>33034886</v>
      </c>
      <c r="B445" s="67" t="inlineStr">
        <is>
          <t>TPSU</t>
        </is>
      </c>
      <c r="C445" s="90" t="inlineStr">
        <is>
          <t>L001</t>
        </is>
      </c>
      <c r="D445" s="84" t="n">
        <v>1070402</v>
      </c>
      <c r="E445" s="80" t="inlineStr">
        <is>
          <t>MANGUITO FIJACION H 317</t>
        </is>
      </c>
      <c r="F445" s="67" t="inlineStr">
        <is>
          <t>UN</t>
        </is>
      </c>
      <c r="G445" s="84" t="n">
        <v>2</v>
      </c>
      <c r="H445" s="57" t="inlineStr"/>
      <c r="I445" s="139" t="n">
        <v>79.04000000000001</v>
      </c>
      <c r="J445" s="140" t="n">
        <v>39.52</v>
      </c>
      <c r="K445" s="86" t="inlineStr">
        <is>
          <t>PEN</t>
        </is>
      </c>
    </row>
    <row r="446">
      <c r="A446" s="84" t="n">
        <v>33034889</v>
      </c>
      <c r="B446" s="67" t="inlineStr">
        <is>
          <t>TPSU</t>
        </is>
      </c>
      <c r="C446" s="90" t="inlineStr">
        <is>
          <t>L001</t>
        </is>
      </c>
      <c r="D446" s="84" t="n">
        <v>1070402</v>
      </c>
      <c r="E446" s="80" t="inlineStr">
        <is>
          <t>MANGUITO FIJACION H 320</t>
        </is>
      </c>
      <c r="F446" s="67" t="inlineStr">
        <is>
          <t>UN</t>
        </is>
      </c>
      <c r="G446" s="84" t="n">
        <v>2</v>
      </c>
      <c r="H446" s="57" t="inlineStr"/>
      <c r="I446" s="139" t="n">
        <v>368.09</v>
      </c>
      <c r="J446" s="140" t="n">
        <v>184.045</v>
      </c>
      <c r="K446" s="86" t="inlineStr">
        <is>
          <t>PEN</t>
        </is>
      </c>
    </row>
    <row r="447">
      <c r="A447" s="84" t="n">
        <v>33034898</v>
      </c>
      <c r="B447" s="67" t="inlineStr">
        <is>
          <t>TPSU</t>
        </is>
      </c>
      <c r="C447" s="90" t="inlineStr">
        <is>
          <t>L001</t>
        </is>
      </c>
      <c r="D447" s="84" t="n">
        <v>1070402</v>
      </c>
      <c r="E447" s="80" t="inlineStr">
        <is>
          <t>MANGUITO FIJACION HA 316</t>
        </is>
      </c>
      <c r="F447" s="67" t="inlineStr">
        <is>
          <t>UN</t>
        </is>
      </c>
      <c r="G447" s="84" t="n">
        <v>2</v>
      </c>
      <c r="H447" s="57" t="inlineStr"/>
      <c r="I447" s="139" t="n">
        <v>306.26</v>
      </c>
      <c r="J447" s="140" t="n">
        <v>153.13</v>
      </c>
      <c r="K447" s="86" t="inlineStr">
        <is>
          <t>PEN</t>
        </is>
      </c>
    </row>
    <row r="448">
      <c r="A448" s="84" t="n">
        <v>33036672</v>
      </c>
      <c r="B448" s="67" t="inlineStr">
        <is>
          <t>TPSU</t>
        </is>
      </c>
      <c r="C448" s="90" t="inlineStr">
        <is>
          <t>L001</t>
        </is>
      </c>
      <c r="D448" s="84" t="n">
        <v>1070403</v>
      </c>
      <c r="E448" s="80" t="inlineStr">
        <is>
          <t>RETEN 20 X 35 X 7</t>
        </is>
      </c>
      <c r="F448" s="67" t="inlineStr">
        <is>
          <t>UN</t>
        </is>
      </c>
      <c r="G448" s="84" t="n">
        <v>1</v>
      </c>
      <c r="H448" s="57" t="inlineStr"/>
      <c r="I448" s="139" t="n">
        <v>6.11</v>
      </c>
      <c r="J448" s="140" t="n">
        <v>6.11</v>
      </c>
      <c r="K448" s="86" t="inlineStr">
        <is>
          <t>PEN</t>
        </is>
      </c>
    </row>
    <row r="449">
      <c r="A449" s="84" t="n">
        <v>33036692</v>
      </c>
      <c r="B449" s="67" t="inlineStr">
        <is>
          <t>TPSU</t>
        </is>
      </c>
      <c r="C449" s="90" t="inlineStr">
        <is>
          <t>L004</t>
        </is>
      </c>
      <c r="D449" s="84" t="n">
        <v>1070403</v>
      </c>
      <c r="E449" s="80" t="inlineStr">
        <is>
          <t>RETEN 25 X 37 X 07</t>
        </is>
      </c>
      <c r="F449" s="67" t="inlineStr">
        <is>
          <t>UN</t>
        </is>
      </c>
      <c r="G449" s="84" t="n">
        <v>2</v>
      </c>
      <c r="H449" s="57" t="inlineStr"/>
      <c r="I449" s="139" t="n">
        <v>5.1</v>
      </c>
      <c r="J449" s="140" t="n">
        <v>2.55</v>
      </c>
      <c r="K449" s="86" t="inlineStr">
        <is>
          <t>PEN</t>
        </is>
      </c>
    </row>
    <row r="450">
      <c r="A450" s="84" t="n">
        <v>33042365</v>
      </c>
      <c r="B450" s="67" t="inlineStr">
        <is>
          <t>TPSU</t>
        </is>
      </c>
      <c r="C450" s="90" t="inlineStr">
        <is>
          <t>L001</t>
        </is>
      </c>
      <c r="D450" s="84" t="n">
        <v>1070403</v>
      </c>
      <c r="E450" s="80" t="inlineStr">
        <is>
          <t>RETEN 30 X 47 X 7</t>
        </is>
      </c>
      <c r="F450" s="67" t="inlineStr">
        <is>
          <t>UN</t>
        </is>
      </c>
      <c r="G450" s="84" t="n">
        <v>1</v>
      </c>
      <c r="H450" s="57" t="inlineStr"/>
      <c r="I450" s="139" t="n">
        <v>3.54</v>
      </c>
      <c r="J450" s="140" t="n">
        <v>3.54</v>
      </c>
      <c r="K450" s="86" t="inlineStr">
        <is>
          <t>PEN</t>
        </is>
      </c>
    </row>
    <row r="451">
      <c r="A451" s="84" t="n">
        <v>33036754</v>
      </c>
      <c r="B451" s="67" t="inlineStr">
        <is>
          <t>TPSU</t>
        </is>
      </c>
      <c r="C451" s="90" t="inlineStr">
        <is>
          <t>L001</t>
        </is>
      </c>
      <c r="D451" s="84" t="n">
        <v>1070403</v>
      </c>
      <c r="E451" s="80" t="inlineStr">
        <is>
          <t>RETEN 40 X 62 X 8</t>
        </is>
      </c>
      <c r="F451" s="67" t="inlineStr">
        <is>
          <t>UN</t>
        </is>
      </c>
      <c r="G451" s="84" t="n">
        <v>1</v>
      </c>
      <c r="H451" s="57" t="inlineStr"/>
      <c r="I451" s="139" t="n">
        <v>5.9</v>
      </c>
      <c r="J451" s="140" t="n">
        <v>5.9</v>
      </c>
      <c r="K451" s="86" t="inlineStr">
        <is>
          <t>PEN</t>
        </is>
      </c>
    </row>
    <row r="452">
      <c r="A452" s="84" t="n">
        <v>33036881</v>
      </c>
      <c r="B452" s="67" t="inlineStr">
        <is>
          <t>TPSU</t>
        </is>
      </c>
      <c r="C452" s="90" t="inlineStr">
        <is>
          <t>L001</t>
        </is>
      </c>
      <c r="D452" s="84" t="n">
        <v>1070403</v>
      </c>
      <c r="E452" s="80" t="inlineStr">
        <is>
          <t>RETEN 75 X 100 X 10 DOBLE LABIO</t>
        </is>
      </c>
      <c r="F452" s="67" t="inlineStr">
        <is>
          <t>UN</t>
        </is>
      </c>
      <c r="G452" s="84" t="n">
        <v>1</v>
      </c>
      <c r="H452" s="57" t="inlineStr"/>
      <c r="I452" s="139" t="n">
        <v>14.54</v>
      </c>
      <c r="J452" s="140" t="n">
        <v>14.54</v>
      </c>
      <c r="K452" s="86" t="inlineStr">
        <is>
          <t>PEN</t>
        </is>
      </c>
    </row>
    <row r="453">
      <c r="A453" s="84" t="n">
        <v>33040199</v>
      </c>
      <c r="B453" s="67" t="inlineStr">
        <is>
          <t>TPSU</t>
        </is>
      </c>
      <c r="C453" s="90" t="inlineStr">
        <is>
          <t>L004</t>
        </is>
      </c>
      <c r="D453" s="84" t="n">
        <v>1070403</v>
      </c>
      <c r="E453" s="80" t="inlineStr">
        <is>
          <t>V-RING VA-60</t>
        </is>
      </c>
      <c r="F453" s="67" t="inlineStr">
        <is>
          <t>UN</t>
        </is>
      </c>
      <c r="G453" s="84" t="n">
        <v>1</v>
      </c>
      <c r="H453" s="57" t="inlineStr"/>
      <c r="I453" s="139" t="n">
        <v>18.05</v>
      </c>
      <c r="J453" s="140" t="n">
        <v>18.05</v>
      </c>
      <c r="K453" s="86" t="inlineStr">
        <is>
          <t>PEN</t>
        </is>
      </c>
    </row>
    <row r="454">
      <c r="A454" s="84" t="n">
        <v>33042368</v>
      </c>
      <c r="B454" s="67" t="inlineStr">
        <is>
          <t>TPSU</t>
        </is>
      </c>
      <c r="C454" s="90" t="inlineStr">
        <is>
          <t>L004</t>
        </is>
      </c>
      <c r="D454" s="84" t="n">
        <v>1070404</v>
      </c>
      <c r="E454" s="80" t="inlineStr">
        <is>
          <t>RETEN 30 X 62 X 10</t>
        </is>
      </c>
      <c r="F454" s="67" t="inlineStr">
        <is>
          <t>UN</t>
        </is>
      </c>
      <c r="G454" s="84" t="n">
        <v>4</v>
      </c>
      <c r="H454" s="57" t="inlineStr"/>
      <c r="I454" s="139" t="n">
        <v>40.65</v>
      </c>
      <c r="J454" s="140" t="n">
        <v>10.1625</v>
      </c>
      <c r="K454" s="86" t="inlineStr">
        <is>
          <t>PEN</t>
        </is>
      </c>
    </row>
    <row r="455">
      <c r="A455" s="84" t="n">
        <v>33036837</v>
      </c>
      <c r="B455" s="67" t="inlineStr">
        <is>
          <t>TPSU</t>
        </is>
      </c>
      <c r="C455" s="90" t="inlineStr">
        <is>
          <t>L001</t>
        </is>
      </c>
      <c r="D455" s="84" t="n">
        <v>1070404</v>
      </c>
      <c r="E455" s="80" t="inlineStr">
        <is>
          <t>RETEN 60 X 72 X 8</t>
        </is>
      </c>
      <c r="F455" s="67" t="inlineStr">
        <is>
          <t>UN</t>
        </is>
      </c>
      <c r="G455" s="84" t="n">
        <v>5</v>
      </c>
      <c r="H455" s="57" t="inlineStr"/>
      <c r="I455" s="139" t="n">
        <v>27.56</v>
      </c>
      <c r="J455" s="140" t="n">
        <v>5.512</v>
      </c>
      <c r="K455" s="86" t="inlineStr">
        <is>
          <t>PEN</t>
        </is>
      </c>
    </row>
    <row r="456">
      <c r="A456" s="84" t="n">
        <v>33036847</v>
      </c>
      <c r="B456" s="67" t="inlineStr">
        <is>
          <t>TPSU</t>
        </is>
      </c>
      <c r="C456" s="90" t="inlineStr">
        <is>
          <t>L001</t>
        </is>
      </c>
      <c r="D456" s="84" t="n">
        <v>1070404</v>
      </c>
      <c r="E456" s="80" t="inlineStr">
        <is>
          <t>RETEN 62 X 120 X 12 - 0 017 788 1</t>
        </is>
      </c>
      <c r="F456" s="67" t="inlineStr">
        <is>
          <t>UN</t>
        </is>
      </c>
      <c r="G456" s="84" t="n">
        <v>3</v>
      </c>
      <c r="H456" s="57" t="inlineStr"/>
      <c r="I456" s="139" t="n">
        <v>777.84</v>
      </c>
      <c r="J456" s="140" t="n">
        <v>259.28</v>
      </c>
      <c r="K456" s="86" t="inlineStr">
        <is>
          <t>PEN</t>
        </is>
      </c>
    </row>
    <row r="457">
      <c r="A457" s="84" t="n">
        <v>33036856</v>
      </c>
      <c r="B457" s="67" t="inlineStr">
        <is>
          <t>TPSU</t>
        </is>
      </c>
      <c r="C457" s="90" t="inlineStr">
        <is>
          <t>L001</t>
        </is>
      </c>
      <c r="D457" s="84" t="n">
        <v>1070404</v>
      </c>
      <c r="E457" s="80" t="inlineStr">
        <is>
          <t>RETEN 65 X 85 X 10</t>
        </is>
      </c>
      <c r="F457" s="67" t="inlineStr">
        <is>
          <t>UN</t>
        </is>
      </c>
      <c r="G457" s="84" t="n">
        <v>3</v>
      </c>
      <c r="H457" s="57" t="inlineStr"/>
      <c r="I457" s="139" t="n">
        <v>18.76</v>
      </c>
      <c r="J457" s="140" t="n">
        <v>6.253333333333334</v>
      </c>
      <c r="K457" s="86" t="inlineStr">
        <is>
          <t>PEN</t>
        </is>
      </c>
    </row>
    <row r="458">
      <c r="A458" s="84" t="n">
        <v>33036866</v>
      </c>
      <c r="B458" s="67" t="inlineStr">
        <is>
          <t>TPSU</t>
        </is>
      </c>
      <c r="C458" s="90" t="inlineStr">
        <is>
          <t>L001</t>
        </is>
      </c>
      <c r="D458" s="84" t="n">
        <v>1070404</v>
      </c>
      <c r="E458" s="80" t="inlineStr">
        <is>
          <t>RETEN 70 X 100 X 10</t>
        </is>
      </c>
      <c r="F458" s="67" t="inlineStr">
        <is>
          <t>UN</t>
        </is>
      </c>
      <c r="G458" s="84" t="n">
        <v>2</v>
      </c>
      <c r="H458" s="57" t="inlineStr"/>
      <c r="I458" s="139" t="n">
        <v>13.7</v>
      </c>
      <c r="J458" s="140" t="n">
        <v>6.85</v>
      </c>
      <c r="K458" s="86" t="inlineStr">
        <is>
          <t>PEN</t>
        </is>
      </c>
    </row>
    <row r="459">
      <c r="A459" s="84" t="n">
        <v>33029996</v>
      </c>
      <c r="B459" s="67" t="inlineStr">
        <is>
          <t>TPSU</t>
        </is>
      </c>
      <c r="C459" s="90" t="inlineStr">
        <is>
          <t>L001</t>
        </is>
      </c>
      <c r="D459" s="84" t="n">
        <v>1070405</v>
      </c>
      <c r="E459" s="80" t="inlineStr">
        <is>
          <t>ANILLO V 100-S 0217003500</t>
        </is>
      </c>
      <c r="F459" s="67" t="inlineStr">
        <is>
          <t>UN</t>
        </is>
      </c>
      <c r="G459" s="84" t="n">
        <v>1</v>
      </c>
      <c r="H459" s="57" t="inlineStr"/>
      <c r="I459" s="139" t="n">
        <v>82.5</v>
      </c>
      <c r="J459" s="140" t="n">
        <v>82.5</v>
      </c>
      <c r="K459" s="86" t="inlineStr">
        <is>
          <t>PEN</t>
        </is>
      </c>
    </row>
    <row r="460">
      <c r="A460" s="84" t="n">
        <v>33036824</v>
      </c>
      <c r="B460" s="67" t="inlineStr">
        <is>
          <t>TPSU</t>
        </is>
      </c>
      <c r="C460" s="90" t="inlineStr">
        <is>
          <t>L001</t>
        </is>
      </c>
      <c r="D460" s="84" t="n">
        <v>1070405</v>
      </c>
      <c r="E460" s="80" t="inlineStr">
        <is>
          <t>RETEN 55 X 72 X 10</t>
        </is>
      </c>
      <c r="F460" s="67" t="inlineStr">
        <is>
          <t>UN</t>
        </is>
      </c>
      <c r="G460" s="84" t="n">
        <v>1</v>
      </c>
      <c r="H460" s="57" t="inlineStr"/>
      <c r="I460" s="139" t="n">
        <v>34.36</v>
      </c>
      <c r="J460" s="140" t="n">
        <v>34.36</v>
      </c>
      <c r="K460" s="86" t="inlineStr">
        <is>
          <t>PEN</t>
        </is>
      </c>
    </row>
    <row r="461">
      <c r="A461" s="84" t="n">
        <v>33036832</v>
      </c>
      <c r="B461" s="67" t="inlineStr">
        <is>
          <t>TPSU</t>
        </is>
      </c>
      <c r="C461" s="90" t="inlineStr">
        <is>
          <t>L001</t>
        </is>
      </c>
      <c r="D461" s="84" t="n">
        <v>1070405</v>
      </c>
      <c r="E461" s="80" t="inlineStr">
        <is>
          <t>RETEN 55 X 90 X 10</t>
        </is>
      </c>
      <c r="F461" s="67" t="inlineStr">
        <is>
          <t>UN</t>
        </is>
      </c>
      <c r="G461" s="84" t="n">
        <v>1</v>
      </c>
      <c r="H461" s="57" t="inlineStr"/>
      <c r="I461" s="139" t="n">
        <v>8.33</v>
      </c>
      <c r="J461" s="140" t="n">
        <v>8.33</v>
      </c>
      <c r="K461" s="86" t="inlineStr">
        <is>
          <t>PEN</t>
        </is>
      </c>
    </row>
    <row r="462">
      <c r="A462" s="84" t="n">
        <v>34004496</v>
      </c>
      <c r="B462" s="67" t="inlineStr">
        <is>
          <t>TPSU</t>
        </is>
      </c>
      <c r="C462" s="90" t="inlineStr">
        <is>
          <t>L004</t>
        </is>
      </c>
      <c r="D462" s="84" t="n">
        <v>1070405</v>
      </c>
      <c r="E462" s="80" t="inlineStr">
        <is>
          <t>RETEN SIMP DRIVE  1112.117.62</t>
        </is>
      </c>
      <c r="F462" s="67" t="inlineStr">
        <is>
          <t>UN</t>
        </is>
      </c>
      <c r="G462" s="84" t="n">
        <v>1</v>
      </c>
      <c r="H462" s="57" t="inlineStr"/>
      <c r="I462" s="139" t="n">
        <v>394.97</v>
      </c>
      <c r="J462" s="140" t="n">
        <v>394.97</v>
      </c>
      <c r="K462" s="86" t="inlineStr">
        <is>
          <t>PEN</t>
        </is>
      </c>
    </row>
    <row r="463">
      <c r="A463" s="84" t="n">
        <v>34004497</v>
      </c>
      <c r="B463" s="67" t="inlineStr">
        <is>
          <t>TPSU</t>
        </is>
      </c>
      <c r="C463" s="90" t="inlineStr">
        <is>
          <t>L004</t>
        </is>
      </c>
      <c r="D463" s="84" t="n">
        <v>1070405</v>
      </c>
      <c r="E463" s="80" t="inlineStr">
        <is>
          <t>RETEN SIMP DRIVE 1112.147.62</t>
        </is>
      </c>
      <c r="F463" s="67" t="inlineStr">
        <is>
          <t>UN</t>
        </is>
      </c>
      <c r="G463" s="84" t="n">
        <v>1</v>
      </c>
      <c r="H463" s="57" t="inlineStr"/>
      <c r="I463" s="139" t="n">
        <v>408.07</v>
      </c>
      <c r="J463" s="140" t="n">
        <v>408.07</v>
      </c>
      <c r="K463" s="86" t="inlineStr">
        <is>
          <t>PEN</t>
        </is>
      </c>
    </row>
    <row r="464">
      <c r="A464" s="84" t="n">
        <v>31009267</v>
      </c>
      <c r="B464" s="67" t="inlineStr">
        <is>
          <t>TPSU</t>
        </is>
      </c>
      <c r="C464" s="90" t="inlineStr">
        <is>
          <t>L001</t>
        </is>
      </c>
      <c r="D464" s="84" t="n">
        <v>1070501</v>
      </c>
      <c r="E464" s="80" t="inlineStr">
        <is>
          <t>CAPUCHON PMX 85 - 220854</t>
        </is>
      </c>
      <c r="F464" s="67" t="inlineStr">
        <is>
          <t>UN</t>
        </is>
      </c>
      <c r="G464" s="84" t="n">
        <v>1</v>
      </c>
      <c r="H464" s="57" t="inlineStr"/>
      <c r="I464" s="139" t="n">
        <v>83</v>
      </c>
      <c r="J464" s="140" t="n">
        <v>83</v>
      </c>
      <c r="K464" s="86" t="inlineStr">
        <is>
          <t>PEN</t>
        </is>
      </c>
    </row>
    <row r="465">
      <c r="A465" s="84" t="n">
        <v>31009898</v>
      </c>
      <c r="B465" s="67" t="inlineStr">
        <is>
          <t>TPSU</t>
        </is>
      </c>
      <c r="C465" s="90" t="inlineStr">
        <is>
          <t>L001</t>
        </is>
      </c>
      <c r="D465" s="84" t="n">
        <v>1070501</v>
      </c>
      <c r="E465" s="80" t="inlineStr">
        <is>
          <t>ELECTRODO CORTE CORTE PLASMA P/T  9-8215</t>
        </is>
      </c>
      <c r="F465" s="67" t="inlineStr">
        <is>
          <t>UN</t>
        </is>
      </c>
      <c r="G465" s="84" t="n">
        <v>3</v>
      </c>
      <c r="H465" s="57" t="inlineStr"/>
      <c r="I465" s="139" t="n">
        <v>71.23</v>
      </c>
      <c r="J465" s="140" t="n">
        <v>23.74333333333334</v>
      </c>
      <c r="K465" s="86" t="inlineStr">
        <is>
          <t>PEN</t>
        </is>
      </c>
    </row>
    <row r="466">
      <c r="A466" s="84" t="n">
        <v>31009903</v>
      </c>
      <c r="B466" s="67" t="inlineStr">
        <is>
          <t>TPSU</t>
        </is>
      </c>
      <c r="C466" s="90" t="inlineStr">
        <is>
          <t>L001</t>
        </is>
      </c>
      <c r="D466" s="84" t="n">
        <v>1070501</v>
      </c>
      <c r="E466" s="80" t="inlineStr">
        <is>
          <t>ELECTRODO P/MAQUINA PLASMA PT-32</t>
        </is>
      </c>
      <c r="F466" s="67" t="inlineStr">
        <is>
          <t>UN</t>
        </is>
      </c>
      <c r="G466" s="84" t="n">
        <v>3</v>
      </c>
      <c r="H466" s="57" t="inlineStr"/>
      <c r="I466" s="139" t="n">
        <v>172.08</v>
      </c>
      <c r="J466" s="140" t="n">
        <v>57.36000000000001</v>
      </c>
      <c r="K466" s="86" t="inlineStr">
        <is>
          <t>PEN</t>
        </is>
      </c>
    </row>
    <row r="467">
      <c r="A467" s="84" t="n">
        <v>31013003</v>
      </c>
      <c r="B467" s="67" t="inlineStr">
        <is>
          <t>TPSU</t>
        </is>
      </c>
      <c r="C467" s="90" t="inlineStr">
        <is>
          <t>L001</t>
        </is>
      </c>
      <c r="D467" s="84" t="n">
        <v>1070501</v>
      </c>
      <c r="E467" s="80" t="inlineStr">
        <is>
          <t>PIEDRA P/CHISPERO TRIANGULAR</t>
        </is>
      </c>
      <c r="F467" s="67" t="inlineStr">
        <is>
          <t>UN</t>
        </is>
      </c>
      <c r="G467" s="84" t="n">
        <v>4</v>
      </c>
      <c r="H467" s="57" t="inlineStr"/>
      <c r="I467" s="139" t="n">
        <v>12.5</v>
      </c>
      <c r="J467" s="140" t="n">
        <v>3.125</v>
      </c>
      <c r="K467" s="86" t="inlineStr">
        <is>
          <t>PEN</t>
        </is>
      </c>
    </row>
    <row r="468">
      <c r="A468" s="84" t="n">
        <v>31009310</v>
      </c>
      <c r="B468" s="67" t="inlineStr">
        <is>
          <t>TPSU</t>
        </is>
      </c>
      <c r="C468" s="90" t="inlineStr">
        <is>
          <t>L001</t>
        </is>
      </c>
      <c r="D468" s="84" t="n">
        <v>1070502</v>
      </c>
      <c r="E468" s="80" t="inlineStr">
        <is>
          <t>CHISPERO TRES PIEDRAS P/OXICORTE</t>
        </is>
      </c>
      <c r="F468" s="67" t="inlineStr">
        <is>
          <t>UN</t>
        </is>
      </c>
      <c r="G468" s="84" t="n">
        <v>3</v>
      </c>
      <c r="H468" s="57" t="inlineStr"/>
      <c r="I468" s="139" t="n">
        <v>22.5</v>
      </c>
      <c r="J468" s="140" t="n">
        <v>7.5</v>
      </c>
      <c r="K468" s="86" t="inlineStr">
        <is>
          <t>PEN</t>
        </is>
      </c>
    </row>
    <row r="469">
      <c r="A469" s="84" t="n">
        <v>31013002</v>
      </c>
      <c r="B469" s="67" t="inlineStr">
        <is>
          <t>TPSU</t>
        </is>
      </c>
      <c r="C469" s="90" t="inlineStr">
        <is>
          <t>L001</t>
        </is>
      </c>
      <c r="D469" s="84" t="n">
        <v>1070502</v>
      </c>
      <c r="E469" s="80" t="inlineStr">
        <is>
          <t>PIEDRA P/CHISPERO C/ROSCA</t>
        </is>
      </c>
      <c r="F469" s="67" t="inlineStr">
        <is>
          <t>UN</t>
        </is>
      </c>
      <c r="G469" s="84" t="n">
        <v>3</v>
      </c>
      <c r="H469" s="57" t="inlineStr"/>
      <c r="I469" s="139" t="n">
        <v>5.4</v>
      </c>
      <c r="J469" s="140" t="n">
        <v>1.8</v>
      </c>
      <c r="K469" s="86" t="inlineStr">
        <is>
          <t>PEN</t>
        </is>
      </c>
    </row>
    <row r="470">
      <c r="A470" s="84" t="n">
        <v>31014236</v>
      </c>
      <c r="B470" s="67" t="inlineStr">
        <is>
          <t>TPSU</t>
        </is>
      </c>
      <c r="C470" s="90" t="inlineStr">
        <is>
          <t>L001</t>
        </is>
      </c>
      <c r="D470" s="84" t="n">
        <v>1070502</v>
      </c>
      <c r="E470" s="80" t="inlineStr">
        <is>
          <t>TENAZA PORTA ELECTRODO 500 AMP.</t>
        </is>
      </c>
      <c r="F470" s="67" t="inlineStr">
        <is>
          <t>UN</t>
        </is>
      </c>
      <c r="G470" s="84" t="n">
        <v>3</v>
      </c>
      <c r="H470" s="57" t="inlineStr"/>
      <c r="I470" s="139" t="n">
        <v>331.66</v>
      </c>
      <c r="J470" s="140" t="n">
        <v>110.5533333333333</v>
      </c>
      <c r="K470" s="86" t="inlineStr">
        <is>
          <t>PEN</t>
        </is>
      </c>
    </row>
    <row r="471">
      <c r="A471" s="84" t="n">
        <v>31015445</v>
      </c>
      <c r="B471" s="67" t="inlineStr">
        <is>
          <t>TPSU</t>
        </is>
      </c>
      <c r="C471" s="90" t="inlineStr">
        <is>
          <t>L001</t>
        </is>
      </c>
      <c r="D471" s="84" t="n">
        <v>1070502</v>
      </c>
      <c r="E471" s="80" t="inlineStr">
        <is>
          <t>TIZA P/MARCAR METALES (CALDERERO)</t>
        </is>
      </c>
      <c r="F471" s="67" t="inlineStr">
        <is>
          <t>UN</t>
        </is>
      </c>
      <c r="G471" s="84" t="n">
        <v>20</v>
      </c>
      <c r="H471" s="57" t="inlineStr"/>
      <c r="I471" s="139" t="n">
        <v>11.37</v>
      </c>
      <c r="J471" s="140" t="n">
        <v>0.5685</v>
      </c>
      <c r="K471" s="86" t="inlineStr">
        <is>
          <t>PEN</t>
        </is>
      </c>
    </row>
    <row r="472">
      <c r="A472" s="84" t="n">
        <v>31013860</v>
      </c>
      <c r="B472" s="67" t="inlineStr">
        <is>
          <t>TPSU</t>
        </is>
      </c>
      <c r="C472" s="90" t="inlineStr">
        <is>
          <t>L001</t>
        </is>
      </c>
      <c r="D472" s="84" t="n">
        <v>1070503</v>
      </c>
      <c r="E472" s="80" t="inlineStr">
        <is>
          <t>SOLDADURA CITOFONTE ENICI 3.25MM</t>
        </is>
      </c>
      <c r="F472" s="67" t="inlineStr">
        <is>
          <t>KG</t>
        </is>
      </c>
      <c r="G472" s="84" t="n">
        <v>8</v>
      </c>
      <c r="H472" s="57" t="inlineStr">
        <is>
          <t>FLX080493</t>
        </is>
      </c>
      <c r="I472" s="139" t="n">
        <v>2913.99</v>
      </c>
      <c r="J472" s="140" t="n">
        <v>364.24875</v>
      </c>
      <c r="K472" s="86" t="inlineStr">
        <is>
          <t>PEN</t>
        </is>
      </c>
    </row>
    <row r="473">
      <c r="A473" s="84" t="n">
        <v>31013860</v>
      </c>
      <c r="B473" s="67" t="inlineStr">
        <is>
          <t>TPSU</t>
        </is>
      </c>
      <c r="C473" s="90" t="inlineStr">
        <is>
          <t>L001</t>
        </is>
      </c>
      <c r="D473" s="84" t="n">
        <v>1070503</v>
      </c>
      <c r="E473" s="80" t="inlineStr">
        <is>
          <t>SOLDADURA CITOFONTE ENICI 3.25MM</t>
        </is>
      </c>
      <c r="F473" s="67" t="inlineStr">
        <is>
          <t>KG</t>
        </is>
      </c>
      <c r="G473" s="84" t="n">
        <v>1.3</v>
      </c>
      <c r="H473" s="57" t="inlineStr">
        <is>
          <t>GN°001-867</t>
        </is>
      </c>
      <c r="I473" s="139" t="n">
        <v>473.52</v>
      </c>
      <c r="J473" s="140" t="n">
        <v>364.2461538461538</v>
      </c>
      <c r="K473" s="86" t="inlineStr">
        <is>
          <t>PEN</t>
        </is>
      </c>
    </row>
    <row r="474">
      <c r="A474" s="84" t="n">
        <v>31013863</v>
      </c>
      <c r="B474" s="67" t="inlineStr">
        <is>
          <t>TPSU</t>
        </is>
      </c>
      <c r="C474" s="90" t="inlineStr">
        <is>
          <t>L001</t>
        </is>
      </c>
      <c r="D474" s="84" t="n">
        <v>1070503</v>
      </c>
      <c r="E474" s="80" t="inlineStr">
        <is>
          <t>SOLDADURA INOX 29/9 E312-16 2.50MM</t>
        </is>
      </c>
      <c r="F474" s="67" t="inlineStr">
        <is>
          <t>KG</t>
        </is>
      </c>
      <c r="G474" s="84" t="n">
        <v>6.5</v>
      </c>
      <c r="H474" s="57" t="inlineStr">
        <is>
          <t>E30509</t>
        </is>
      </c>
      <c r="I474" s="139" t="n">
        <v>576.05</v>
      </c>
      <c r="J474" s="140" t="n">
        <v>88.62307692307692</v>
      </c>
      <c r="K474" s="86" t="inlineStr">
        <is>
          <t>PEN</t>
        </is>
      </c>
    </row>
    <row r="475">
      <c r="A475" s="84" t="n">
        <v>31013863</v>
      </c>
      <c r="B475" s="67" t="inlineStr">
        <is>
          <t>TPSU</t>
        </is>
      </c>
      <c r="C475" s="90" t="inlineStr">
        <is>
          <t>L001</t>
        </is>
      </c>
      <c r="D475" s="84" t="n">
        <v>1070503</v>
      </c>
      <c r="E475" s="80" t="inlineStr">
        <is>
          <t>SOLDADURA INOX 29/9 E312-16 2.50MM</t>
        </is>
      </c>
      <c r="F475" s="67" t="inlineStr">
        <is>
          <t>KG</t>
        </is>
      </c>
      <c r="G475" s="84" t="n">
        <v>12</v>
      </c>
      <c r="H475" s="57" t="inlineStr">
        <is>
          <t>FLX241598</t>
        </is>
      </c>
      <c r="I475" s="139" t="n">
        <v>1063.49</v>
      </c>
      <c r="J475" s="140" t="n">
        <v>88.62416666666667</v>
      </c>
      <c r="K475" s="86" t="inlineStr">
        <is>
          <t>PEN</t>
        </is>
      </c>
    </row>
    <row r="476">
      <c r="A476" s="84" t="n">
        <v>31013867</v>
      </c>
      <c r="B476" s="67" t="inlineStr">
        <is>
          <t>TPSU</t>
        </is>
      </c>
      <c r="C476" s="90" t="inlineStr">
        <is>
          <t>L001</t>
        </is>
      </c>
      <c r="D476" s="84" t="n">
        <v>1070503</v>
      </c>
      <c r="E476" s="80" t="inlineStr">
        <is>
          <t>SOLDADURA INOX AW E308L-16 2.50MM</t>
        </is>
      </c>
      <c r="F476" s="67" t="inlineStr">
        <is>
          <t>KG</t>
        </is>
      </c>
      <c r="G476" s="84" t="n">
        <v>8.75</v>
      </c>
      <c r="H476" s="57" t="inlineStr">
        <is>
          <t>FLX150932</t>
        </is>
      </c>
      <c r="I476" s="139" t="n">
        <v>607.03</v>
      </c>
      <c r="J476" s="140" t="n">
        <v>69.37485714285714</v>
      </c>
      <c r="K476" s="86" t="inlineStr">
        <is>
          <t>PEN</t>
        </is>
      </c>
    </row>
    <row r="477">
      <c r="A477" s="84" t="n">
        <v>31013867</v>
      </c>
      <c r="B477" s="67" t="inlineStr">
        <is>
          <t>TPSU</t>
        </is>
      </c>
      <c r="C477" s="90" t="inlineStr">
        <is>
          <t>L001</t>
        </is>
      </c>
      <c r="D477" s="84" t="n">
        <v>1070503</v>
      </c>
      <c r="E477" s="80" t="inlineStr">
        <is>
          <t>SOLDADURA INOX AW E308L-16 2.50MM</t>
        </is>
      </c>
      <c r="F477" s="67" t="inlineStr">
        <is>
          <t>KG</t>
        </is>
      </c>
      <c r="G477" s="84" t="n">
        <v>20</v>
      </c>
      <c r="H477" s="57" t="inlineStr">
        <is>
          <t>FLX191239</t>
        </is>
      </c>
      <c r="I477" s="139" t="n">
        <v>1387.49</v>
      </c>
      <c r="J477" s="140" t="n">
        <v>69.3745</v>
      </c>
      <c r="K477" s="86" t="inlineStr">
        <is>
          <t>PEN</t>
        </is>
      </c>
    </row>
    <row r="478">
      <c r="A478" s="84" t="n">
        <v>31013866</v>
      </c>
      <c r="B478" s="67" t="inlineStr">
        <is>
          <t>TPSU</t>
        </is>
      </c>
      <c r="C478" s="90" t="inlineStr">
        <is>
          <t>L001</t>
        </is>
      </c>
      <c r="D478" s="84" t="n">
        <v>1070503</v>
      </c>
      <c r="E478" s="80" t="inlineStr">
        <is>
          <t>SOLDADURA INOX AW E308L-16 3.25MM</t>
        </is>
      </c>
      <c r="F478" s="67" t="inlineStr">
        <is>
          <t>KG</t>
        </is>
      </c>
      <c r="G478" s="84" t="n">
        <v>6.5</v>
      </c>
      <c r="H478" s="57" t="inlineStr">
        <is>
          <t>FLW211519</t>
        </is>
      </c>
      <c r="I478" s="139" t="n">
        <v>363.57</v>
      </c>
      <c r="J478" s="140" t="n">
        <v>55.93384615384615</v>
      </c>
      <c r="K478" s="86" t="inlineStr">
        <is>
          <t>PEN</t>
        </is>
      </c>
    </row>
    <row r="479">
      <c r="A479" s="84" t="n">
        <v>31013862</v>
      </c>
      <c r="B479" s="67" t="inlineStr">
        <is>
          <t>TPSU</t>
        </is>
      </c>
      <c r="C479" s="90" t="inlineStr">
        <is>
          <t>L001</t>
        </is>
      </c>
      <c r="D479" s="84" t="n">
        <v>1070503</v>
      </c>
      <c r="E479" s="80" t="inlineStr">
        <is>
          <t>SOLDADURA INOX E312  3.25MM (4KG)</t>
        </is>
      </c>
      <c r="F479" s="67" t="inlineStr">
        <is>
          <t>KG</t>
        </is>
      </c>
      <c r="G479" s="84" t="n">
        <v>1.75</v>
      </c>
      <c r="H479" s="57" t="inlineStr">
        <is>
          <t>FLW392861</t>
        </is>
      </c>
      <c r="I479" s="139" t="n">
        <v>124.58</v>
      </c>
      <c r="J479" s="140" t="n">
        <v>71.18857142857142</v>
      </c>
      <c r="K479" s="86" t="inlineStr">
        <is>
          <t>PEN</t>
        </is>
      </c>
    </row>
    <row r="480">
      <c r="A480" s="84" t="n">
        <v>31013875</v>
      </c>
      <c r="B480" s="67" t="inlineStr">
        <is>
          <t>TPSU</t>
        </is>
      </c>
      <c r="C480" s="90" t="inlineStr">
        <is>
          <t>L001</t>
        </is>
      </c>
      <c r="D480" s="84" t="n">
        <v>1070504</v>
      </c>
      <c r="E480" s="80" t="inlineStr">
        <is>
          <t>SOLDADURA SUPERCITO E7018 2.50MM (25KG)</t>
        </is>
      </c>
      <c r="F480" s="67" t="inlineStr">
        <is>
          <t>KG</t>
        </is>
      </c>
      <c r="G480" s="84" t="n">
        <v>27</v>
      </c>
      <c r="H480" s="57" t="inlineStr">
        <is>
          <t>E10544-62</t>
        </is>
      </c>
      <c r="I480" s="139" t="n">
        <v>331.94</v>
      </c>
      <c r="J480" s="140" t="n">
        <v>12.29407407407407</v>
      </c>
      <c r="K480" s="86" t="inlineStr">
        <is>
          <t>PEN</t>
        </is>
      </c>
    </row>
    <row r="481">
      <c r="A481" s="84" t="n">
        <v>31013875</v>
      </c>
      <c r="B481" s="67" t="inlineStr">
        <is>
          <t>TPSU</t>
        </is>
      </c>
      <c r="C481" s="90" t="inlineStr">
        <is>
          <t>L001</t>
        </is>
      </c>
      <c r="D481" s="84" t="n">
        <v>1070504</v>
      </c>
      <c r="E481" s="80" t="inlineStr">
        <is>
          <t>SOLDADURA SUPERCITO E7018 2.50MM (25KG)</t>
        </is>
      </c>
      <c r="F481" s="67" t="inlineStr">
        <is>
          <t>KG</t>
        </is>
      </c>
      <c r="G481" s="84" t="n">
        <v>5</v>
      </c>
      <c r="H481" s="57" t="inlineStr">
        <is>
          <t>FLW211526</t>
        </is>
      </c>
      <c r="I481" s="139" t="n">
        <v>61.47</v>
      </c>
      <c r="J481" s="140" t="n">
        <v>12.294</v>
      </c>
      <c r="K481" s="86" t="inlineStr">
        <is>
          <t>PEN</t>
        </is>
      </c>
    </row>
    <row r="482">
      <c r="A482" s="84" t="n">
        <v>31013874</v>
      </c>
      <c r="B482" s="67" t="inlineStr">
        <is>
          <t>TPSU</t>
        </is>
      </c>
      <c r="C482" s="90" t="inlineStr">
        <is>
          <t>L001</t>
        </is>
      </c>
      <c r="D482" s="84" t="n">
        <v>1070504</v>
      </c>
      <c r="E482" s="80" t="inlineStr">
        <is>
          <t>SOLDADURA SUPERCITO E7018 3.25MM (25KG)</t>
        </is>
      </c>
      <c r="F482" s="67" t="inlineStr">
        <is>
          <t>KG</t>
        </is>
      </c>
      <c r="G482" s="84" t="n">
        <v>8.25</v>
      </c>
      <c r="H482" s="57" t="inlineStr">
        <is>
          <t>FLX010011</t>
        </is>
      </c>
      <c r="I482" s="139" t="n">
        <v>94.02</v>
      </c>
      <c r="J482" s="140" t="n">
        <v>11.39636363636364</v>
      </c>
      <c r="K482" s="86" t="inlineStr">
        <is>
          <t>PEN</t>
        </is>
      </c>
    </row>
    <row r="483">
      <c r="A483" s="84" t="n">
        <v>31013874</v>
      </c>
      <c r="B483" s="67" t="inlineStr">
        <is>
          <t>TPSU</t>
        </is>
      </c>
      <c r="C483" s="90" t="inlineStr">
        <is>
          <t>L001</t>
        </is>
      </c>
      <c r="D483" s="84" t="n">
        <v>1070504</v>
      </c>
      <c r="E483" s="80" t="inlineStr">
        <is>
          <t>SOLDADURA SUPERCITO E7018 3.25MM (25KG)</t>
        </is>
      </c>
      <c r="F483" s="67" t="inlineStr">
        <is>
          <t>KG</t>
        </is>
      </c>
      <c r="G483" s="84" t="n">
        <v>25</v>
      </c>
      <c r="H483" s="57" t="inlineStr">
        <is>
          <t>FLX050290</t>
        </is>
      </c>
      <c r="I483" s="139" t="n">
        <v>284.91</v>
      </c>
      <c r="J483" s="140" t="n">
        <v>11.3964</v>
      </c>
      <c r="K483" s="86" t="inlineStr">
        <is>
          <t>PEN</t>
        </is>
      </c>
    </row>
    <row r="484">
      <c r="A484" s="84" t="n">
        <v>31013855</v>
      </c>
      <c r="B484" s="67" t="inlineStr">
        <is>
          <t>TPSU</t>
        </is>
      </c>
      <c r="C484" s="90" t="inlineStr">
        <is>
          <t>L001</t>
        </is>
      </c>
      <c r="D484" s="84" t="n">
        <v>1070505</v>
      </c>
      <c r="E484" s="80" t="inlineStr">
        <is>
          <t>SOLDADURA CELLOCORD AP E6011 3.25MM</t>
        </is>
      </c>
      <c r="F484" s="67" t="inlineStr">
        <is>
          <t>KG</t>
        </is>
      </c>
      <c r="G484" s="84" t="n">
        <v>22</v>
      </c>
      <c r="H484" s="57" t="inlineStr">
        <is>
          <t>18261417</t>
        </is>
      </c>
      <c r="I484" s="139" t="n">
        <v>349.17</v>
      </c>
      <c r="J484" s="140" t="n">
        <v>15.87136363636364</v>
      </c>
      <c r="K484" s="86" t="inlineStr">
        <is>
          <t>PEN</t>
        </is>
      </c>
    </row>
    <row r="485">
      <c r="A485" s="84" t="n">
        <v>31013855</v>
      </c>
      <c r="B485" s="67" t="inlineStr">
        <is>
          <t>TPSU</t>
        </is>
      </c>
      <c r="C485" s="90" t="inlineStr">
        <is>
          <t>L001</t>
        </is>
      </c>
      <c r="D485" s="84" t="n">
        <v>1070505</v>
      </c>
      <c r="E485" s="80" t="inlineStr">
        <is>
          <t>SOLDADURA CELLOCORD AP E6011 3.25MM</t>
        </is>
      </c>
      <c r="F485" s="67" t="inlineStr">
        <is>
          <t>KG</t>
        </is>
      </c>
      <c r="G485" s="84" t="n">
        <v>25</v>
      </c>
      <c r="H485" s="57" t="inlineStr">
        <is>
          <t>FLX191185</t>
        </is>
      </c>
      <c r="I485" s="139" t="n">
        <v>396.78</v>
      </c>
      <c r="J485" s="140" t="n">
        <v>15.8712</v>
      </c>
      <c r="K485" s="86" t="inlineStr">
        <is>
          <t>PEN</t>
        </is>
      </c>
    </row>
    <row r="486">
      <c r="A486" s="84" t="n">
        <v>31013865</v>
      </c>
      <c r="B486" s="67" t="inlineStr">
        <is>
          <t>TPSU</t>
        </is>
      </c>
      <c r="C486" s="90" t="inlineStr">
        <is>
          <t>L001</t>
        </is>
      </c>
      <c r="D486" s="84" t="n">
        <v>1070505</v>
      </c>
      <c r="E486" s="80" t="inlineStr">
        <is>
          <t>SOLDADURA INOX AW E308L-16  1.60MM</t>
        </is>
      </c>
      <c r="F486" s="67" t="inlineStr">
        <is>
          <t>KG</t>
        </is>
      </c>
      <c r="G486" s="84" t="n">
        <v>14.65</v>
      </c>
      <c r="H486" s="57" t="inlineStr">
        <is>
          <t>FL470085</t>
        </is>
      </c>
      <c r="I486" s="139" t="n">
        <v>1241.88</v>
      </c>
      <c r="J486" s="140" t="n">
        <v>84.76996587030717</v>
      </c>
      <c r="K486" s="86" t="inlineStr">
        <is>
          <t>PEN</t>
        </is>
      </c>
    </row>
    <row r="487">
      <c r="A487" s="84" t="n">
        <v>31009094</v>
      </c>
      <c r="B487" s="67" t="inlineStr">
        <is>
          <t>TPSU</t>
        </is>
      </c>
      <c r="C487" s="90" t="inlineStr">
        <is>
          <t>L001</t>
        </is>
      </c>
      <c r="D487" s="84" t="n">
        <v>1070601</v>
      </c>
      <c r="E487" s="80" t="inlineStr">
        <is>
          <t>BUSHING REDUC. FEN. 1'' X 3/4''</t>
        </is>
      </c>
      <c r="F487" s="67" t="inlineStr">
        <is>
          <t>UN</t>
        </is>
      </c>
      <c r="G487" s="84" t="n">
        <v>15</v>
      </c>
      <c r="H487" s="57" t="inlineStr"/>
      <c r="I487" s="139" t="n">
        <v>19.18</v>
      </c>
      <c r="J487" s="140" t="n">
        <v>1.278666666666667</v>
      </c>
      <c r="K487" s="86" t="inlineStr">
        <is>
          <t>PEN</t>
        </is>
      </c>
    </row>
    <row r="488">
      <c r="A488" s="84" t="n">
        <v>31009109</v>
      </c>
      <c r="B488" s="67" t="inlineStr">
        <is>
          <t>TPSU</t>
        </is>
      </c>
      <c r="C488" s="90" t="inlineStr">
        <is>
          <t>L001</t>
        </is>
      </c>
      <c r="D488" s="84" t="n">
        <v>1070601</v>
      </c>
      <c r="E488" s="80" t="inlineStr">
        <is>
          <t>BUSHING REDUC. INOX. 1'' X 3/4''</t>
        </is>
      </c>
      <c r="F488" s="67" t="inlineStr">
        <is>
          <t>UN</t>
        </is>
      </c>
      <c r="G488" s="84" t="n">
        <v>2</v>
      </c>
      <c r="H488" s="57" t="inlineStr"/>
      <c r="I488" s="139" t="n">
        <v>10.08</v>
      </c>
      <c r="J488" s="140" t="n">
        <v>5.04</v>
      </c>
      <c r="K488" s="86" t="inlineStr">
        <is>
          <t>PEN</t>
        </is>
      </c>
    </row>
    <row r="489">
      <c r="A489" s="84" t="n">
        <v>31013642</v>
      </c>
      <c r="B489" s="67" t="inlineStr">
        <is>
          <t>TPSU</t>
        </is>
      </c>
      <c r="C489" s="90" t="inlineStr">
        <is>
          <t>L001</t>
        </is>
      </c>
      <c r="D489" s="84" t="n">
        <v>1070601</v>
      </c>
      <c r="E489" s="80" t="inlineStr">
        <is>
          <t>REDUCCION BUSHING 1.1/4" A 1" INOX.</t>
        </is>
      </c>
      <c r="F489" s="67" t="inlineStr">
        <is>
          <t>UN</t>
        </is>
      </c>
      <c r="G489" s="84" t="n">
        <v>4</v>
      </c>
      <c r="H489" s="57" t="inlineStr"/>
      <c r="I489" s="139" t="n">
        <v>33.76</v>
      </c>
      <c r="J489" s="140" t="n">
        <v>8.44</v>
      </c>
      <c r="K489" s="86" t="inlineStr">
        <is>
          <t>PEN</t>
        </is>
      </c>
    </row>
    <row r="490">
      <c r="A490" s="84" t="n">
        <v>31015389</v>
      </c>
      <c r="B490" s="67" t="inlineStr">
        <is>
          <t>TPSU</t>
        </is>
      </c>
      <c r="C490" s="90" t="inlineStr">
        <is>
          <t>L001</t>
        </is>
      </c>
      <c r="D490" s="84" t="n">
        <v>1070601</v>
      </c>
      <c r="E490" s="80" t="inlineStr">
        <is>
          <t>REDUCCION BUSHING 1/2'' A 1/4'' FEN.</t>
        </is>
      </c>
      <c r="F490" s="67" t="inlineStr">
        <is>
          <t>UN</t>
        </is>
      </c>
      <c r="G490" s="84" t="n">
        <v>3</v>
      </c>
      <c r="H490" s="57" t="inlineStr"/>
      <c r="I490" s="139" t="n">
        <v>2.43</v>
      </c>
      <c r="J490" s="140" t="n">
        <v>0.8100000000000001</v>
      </c>
      <c r="K490" s="86" t="inlineStr">
        <is>
          <t>PEN</t>
        </is>
      </c>
    </row>
    <row r="491">
      <c r="A491" s="84" t="n">
        <v>31015511</v>
      </c>
      <c r="B491" s="67" t="inlineStr">
        <is>
          <t>TPSU</t>
        </is>
      </c>
      <c r="C491" s="90" t="inlineStr">
        <is>
          <t>L001</t>
        </is>
      </c>
      <c r="D491" s="84" t="n">
        <v>1070601</v>
      </c>
      <c r="E491" s="80" t="inlineStr">
        <is>
          <t>REDUCCION BUSHING 3/4'' A 1/2'' FEN.</t>
        </is>
      </c>
      <c r="F491" s="67" t="inlineStr">
        <is>
          <t>UN</t>
        </is>
      </c>
      <c r="G491" s="84" t="n">
        <v>2</v>
      </c>
      <c r="H491" s="57" t="inlineStr"/>
      <c r="I491" s="139" t="n">
        <v>1.33</v>
      </c>
      <c r="J491" s="140" t="n">
        <v>0.665</v>
      </c>
      <c r="K491" s="86" t="inlineStr">
        <is>
          <t>PEN</t>
        </is>
      </c>
    </row>
    <row r="492">
      <c r="A492" s="84" t="n">
        <v>31014852</v>
      </c>
      <c r="B492" s="67" t="inlineStr">
        <is>
          <t>TPSU</t>
        </is>
      </c>
      <c r="C492" s="90" t="inlineStr">
        <is>
          <t>L001</t>
        </is>
      </c>
      <c r="D492" s="84" t="n">
        <v>1070602</v>
      </c>
      <c r="E492" s="80" t="inlineStr">
        <is>
          <t>UNION SIMPLE PVC ROSC. 1/2"</t>
        </is>
      </c>
      <c r="F492" s="67" t="inlineStr">
        <is>
          <t>UN</t>
        </is>
      </c>
      <c r="G492" s="84" t="n">
        <v>4</v>
      </c>
      <c r="H492" s="57" t="inlineStr"/>
      <c r="I492" s="139" t="n">
        <v>10.16</v>
      </c>
      <c r="J492" s="140" t="n">
        <v>2.54</v>
      </c>
      <c r="K492" s="86" t="inlineStr">
        <is>
          <t>PEN</t>
        </is>
      </c>
    </row>
    <row r="493">
      <c r="A493" s="84" t="n">
        <v>31014879</v>
      </c>
      <c r="B493" s="67" t="inlineStr">
        <is>
          <t>TPSU</t>
        </is>
      </c>
      <c r="C493" s="90" t="inlineStr">
        <is>
          <t>L001</t>
        </is>
      </c>
      <c r="D493" s="84" t="n">
        <v>1070602</v>
      </c>
      <c r="E493" s="80" t="inlineStr">
        <is>
          <t>UNION UNIV. FE. GALV. 1/2''</t>
        </is>
      </c>
      <c r="F493" s="67" t="inlineStr">
        <is>
          <t>UN</t>
        </is>
      </c>
      <c r="G493" s="84" t="n">
        <v>1</v>
      </c>
      <c r="H493" s="57" t="inlineStr"/>
      <c r="I493" s="139" t="n">
        <v>7.49</v>
      </c>
      <c r="J493" s="140" t="n">
        <v>7.49</v>
      </c>
      <c r="K493" s="86" t="inlineStr">
        <is>
          <t>PEN</t>
        </is>
      </c>
    </row>
    <row r="494">
      <c r="A494" s="84" t="n">
        <v>31014891</v>
      </c>
      <c r="B494" s="67" t="inlineStr">
        <is>
          <t>TPSU</t>
        </is>
      </c>
      <c r="C494" s="90" t="inlineStr">
        <is>
          <t>L001</t>
        </is>
      </c>
      <c r="D494" s="84" t="n">
        <v>1070602</v>
      </c>
      <c r="E494" s="80" t="inlineStr">
        <is>
          <t>UNION UNIV. GALV. 3/4''</t>
        </is>
      </c>
      <c r="F494" s="67" t="inlineStr">
        <is>
          <t>UN</t>
        </is>
      </c>
      <c r="G494" s="84" t="n">
        <v>2</v>
      </c>
      <c r="H494" s="57" t="inlineStr"/>
      <c r="I494" s="139" t="n">
        <v>8.970000000000001</v>
      </c>
      <c r="J494" s="140" t="n">
        <v>4.485</v>
      </c>
      <c r="K494" s="86" t="inlineStr">
        <is>
          <t>PEN</t>
        </is>
      </c>
    </row>
    <row r="495">
      <c r="A495" s="84" t="n">
        <v>31014829</v>
      </c>
      <c r="B495" s="67" t="inlineStr">
        <is>
          <t>TPSU</t>
        </is>
      </c>
      <c r="C495" s="90" t="inlineStr">
        <is>
          <t>L001</t>
        </is>
      </c>
      <c r="D495" s="84" t="n">
        <v>1070603</v>
      </c>
      <c r="E495" s="80" t="inlineStr">
        <is>
          <t>UNION SIMPLE GALV. 1''</t>
        </is>
      </c>
      <c r="F495" s="67" t="inlineStr">
        <is>
          <t>UN</t>
        </is>
      </c>
      <c r="G495" s="84" t="n">
        <v>7</v>
      </c>
      <c r="H495" s="57" t="inlineStr"/>
      <c r="I495" s="139" t="n">
        <v>10.72</v>
      </c>
      <c r="J495" s="140" t="n">
        <v>1.531428571428572</v>
      </c>
      <c r="K495" s="86" t="inlineStr">
        <is>
          <t>PEN</t>
        </is>
      </c>
    </row>
    <row r="496">
      <c r="A496" s="84" t="n">
        <v>31014831</v>
      </c>
      <c r="B496" s="67" t="inlineStr">
        <is>
          <t>TPSU</t>
        </is>
      </c>
      <c r="C496" s="90" t="inlineStr">
        <is>
          <t>L001</t>
        </is>
      </c>
      <c r="D496" s="84" t="n">
        <v>1070603</v>
      </c>
      <c r="E496" s="80" t="inlineStr">
        <is>
          <t>UNION SIMPLE GALV. 1/2''</t>
        </is>
      </c>
      <c r="F496" s="67" t="inlineStr">
        <is>
          <t>UN</t>
        </is>
      </c>
      <c r="G496" s="84" t="n">
        <v>13</v>
      </c>
      <c r="H496" s="57" t="inlineStr"/>
      <c r="I496" s="139" t="n">
        <v>12.79</v>
      </c>
      <c r="J496" s="140" t="n">
        <v>0.9838461538461538</v>
      </c>
      <c r="K496" s="86" t="inlineStr">
        <is>
          <t>PEN</t>
        </is>
      </c>
    </row>
    <row r="497">
      <c r="A497" s="84" t="n">
        <v>31014834</v>
      </c>
      <c r="B497" s="67" t="inlineStr">
        <is>
          <t>TPSU</t>
        </is>
      </c>
      <c r="C497" s="90" t="inlineStr">
        <is>
          <t>L001</t>
        </is>
      </c>
      <c r="D497" s="84" t="n">
        <v>1070603</v>
      </c>
      <c r="E497" s="80" t="inlineStr">
        <is>
          <t>UNION SIMPLE GALV. 3/4''</t>
        </is>
      </c>
      <c r="F497" s="67" t="inlineStr">
        <is>
          <t>UN</t>
        </is>
      </c>
      <c r="G497" s="84" t="n">
        <v>5</v>
      </c>
      <c r="H497" s="57" t="inlineStr"/>
      <c r="I497" s="139" t="n">
        <v>5.9</v>
      </c>
      <c r="J497" s="140" t="n">
        <v>1.18</v>
      </c>
      <c r="K497" s="86" t="inlineStr">
        <is>
          <t>PEN</t>
        </is>
      </c>
    </row>
    <row r="498">
      <c r="A498" s="84" t="n">
        <v>31014841</v>
      </c>
      <c r="B498" s="67" t="inlineStr">
        <is>
          <t>TPSU</t>
        </is>
      </c>
      <c r="C498" s="90" t="inlineStr">
        <is>
          <t>L001</t>
        </is>
      </c>
      <c r="D498" s="84" t="n">
        <v>1070603</v>
      </c>
      <c r="E498" s="80" t="inlineStr">
        <is>
          <t>UNION SIMPLE INOX.304 ROSC. 1/2"</t>
        </is>
      </c>
      <c r="F498" s="67" t="inlineStr">
        <is>
          <t>UN</t>
        </is>
      </c>
      <c r="G498" s="84" t="n">
        <v>1</v>
      </c>
      <c r="H498" s="57" t="inlineStr"/>
      <c r="I498" s="139" t="n">
        <v>2.93</v>
      </c>
      <c r="J498" s="140" t="n">
        <v>2.93</v>
      </c>
      <c r="K498" s="86" t="inlineStr">
        <is>
          <t>PEN</t>
        </is>
      </c>
    </row>
    <row r="499">
      <c r="A499" s="84" t="n">
        <v>31014851</v>
      </c>
      <c r="B499" s="67" t="inlineStr">
        <is>
          <t>TPSU</t>
        </is>
      </c>
      <c r="C499" s="90" t="inlineStr">
        <is>
          <t>L001</t>
        </is>
      </c>
      <c r="D499" s="84" t="n">
        <v>1070603</v>
      </c>
      <c r="E499" s="80" t="inlineStr">
        <is>
          <t>UNION SIMPLE PVC ROSC. 1"</t>
        </is>
      </c>
      <c r="F499" s="67" t="inlineStr">
        <is>
          <t>UN</t>
        </is>
      </c>
      <c r="G499" s="84" t="n">
        <v>4</v>
      </c>
      <c r="H499" s="57" t="inlineStr"/>
      <c r="I499" s="139" t="n">
        <v>8.960000000000001</v>
      </c>
      <c r="J499" s="140" t="n">
        <v>2.24</v>
      </c>
      <c r="K499" s="86" t="inlineStr">
        <is>
          <t>PEN</t>
        </is>
      </c>
    </row>
    <row r="500">
      <c r="A500" s="84" t="n">
        <v>31014933</v>
      </c>
      <c r="B500" s="67" t="inlineStr">
        <is>
          <t>TPSU</t>
        </is>
      </c>
      <c r="C500" s="90" t="inlineStr">
        <is>
          <t>L004</t>
        </is>
      </c>
      <c r="D500" s="84" t="n">
        <v>1070603</v>
      </c>
      <c r="E500" s="80" t="inlineStr">
        <is>
          <t>UNION UNIV. SCH40  3/8''</t>
        </is>
      </c>
      <c r="F500" s="67" t="inlineStr">
        <is>
          <t>UN</t>
        </is>
      </c>
      <c r="G500" s="84" t="n">
        <v>5</v>
      </c>
      <c r="H500" s="57" t="inlineStr"/>
      <c r="I500" s="139" t="n">
        <v>19.72</v>
      </c>
      <c r="J500" s="140" t="n">
        <v>3.944</v>
      </c>
      <c r="K500" s="86" t="inlineStr">
        <is>
          <t>PEN</t>
        </is>
      </c>
    </row>
    <row r="501">
      <c r="A501" s="84" t="n">
        <v>31014047</v>
      </c>
      <c r="B501" s="67" t="inlineStr">
        <is>
          <t>TPSU</t>
        </is>
      </c>
      <c r="C501" s="90" t="inlineStr">
        <is>
          <t>L001</t>
        </is>
      </c>
      <c r="D501" s="84" t="n">
        <v>1070604</v>
      </c>
      <c r="E501" s="80" t="inlineStr">
        <is>
          <t>TAPON MACHO 1" GALV.</t>
        </is>
      </c>
      <c r="F501" s="67" t="inlineStr">
        <is>
          <t>UN</t>
        </is>
      </c>
      <c r="G501" s="84" t="n">
        <v>9</v>
      </c>
      <c r="H501" s="57" t="inlineStr">
        <is>
          <t>NUEVO</t>
        </is>
      </c>
      <c r="I501" s="139" t="n">
        <v>12.87</v>
      </c>
      <c r="J501" s="140" t="n">
        <v>1.43</v>
      </c>
      <c r="K501" s="86" t="inlineStr">
        <is>
          <t>PEN</t>
        </is>
      </c>
    </row>
    <row r="502">
      <c r="A502" s="84" t="n">
        <v>31014062</v>
      </c>
      <c r="B502" s="67" t="inlineStr">
        <is>
          <t>TPSU</t>
        </is>
      </c>
      <c r="C502" s="90" t="inlineStr">
        <is>
          <t>L001</t>
        </is>
      </c>
      <c r="D502" s="84" t="n">
        <v>1070604</v>
      </c>
      <c r="E502" s="80" t="inlineStr">
        <is>
          <t>TAPON MACHO 1/4" GALV. ROSC.</t>
        </is>
      </c>
      <c r="F502" s="67" t="inlineStr">
        <is>
          <t>UN</t>
        </is>
      </c>
      <c r="G502" s="84" t="n">
        <v>10</v>
      </c>
      <c r="H502" s="57" t="inlineStr">
        <is>
          <t>NUEVO</t>
        </is>
      </c>
      <c r="I502" s="139" t="n">
        <v>9.4</v>
      </c>
      <c r="J502" s="140" t="n">
        <v>0.9400000000000001</v>
      </c>
      <c r="K502" s="86" t="inlineStr">
        <is>
          <t>PEN</t>
        </is>
      </c>
    </row>
    <row r="503">
      <c r="A503" s="84" t="n">
        <v>31014076</v>
      </c>
      <c r="B503" s="67" t="inlineStr">
        <is>
          <t>TPSU</t>
        </is>
      </c>
      <c r="C503" s="90" t="inlineStr">
        <is>
          <t>L001</t>
        </is>
      </c>
      <c r="D503" s="84" t="n">
        <v>1070604</v>
      </c>
      <c r="E503" s="80" t="inlineStr">
        <is>
          <t>TAPON MACHO 3/8" GALV.</t>
        </is>
      </c>
      <c r="F503" s="67" t="inlineStr">
        <is>
          <t>UN</t>
        </is>
      </c>
      <c r="G503" s="84" t="n">
        <v>10</v>
      </c>
      <c r="H503" s="57" t="inlineStr">
        <is>
          <t>NUEVO</t>
        </is>
      </c>
      <c r="I503" s="139" t="n">
        <v>4.9</v>
      </c>
      <c r="J503" s="140" t="n">
        <v>0.49</v>
      </c>
      <c r="K503" s="86" t="inlineStr">
        <is>
          <t>PEN</t>
        </is>
      </c>
    </row>
    <row r="504">
      <c r="A504" s="84" t="n">
        <v>31008800</v>
      </c>
      <c r="B504" s="67" t="inlineStr">
        <is>
          <t>TPSU</t>
        </is>
      </c>
      <c r="C504" s="90" t="inlineStr">
        <is>
          <t>L001</t>
        </is>
      </c>
      <c r="D504" s="84" t="n">
        <v>1070605</v>
      </c>
      <c r="E504" s="80" t="inlineStr">
        <is>
          <t>BOCINA BCE 2.1/2''X4.1/2''X12''</t>
        </is>
      </c>
      <c r="F504" s="67" t="inlineStr">
        <is>
          <t>UN</t>
        </is>
      </c>
      <c r="G504" s="84" t="n">
        <v>2</v>
      </c>
      <c r="H504" s="57" t="inlineStr"/>
      <c r="I504" s="139" t="n">
        <v>2564.96</v>
      </c>
      <c r="J504" s="140" t="n">
        <v>1282.48</v>
      </c>
      <c r="K504" s="86" t="inlineStr">
        <is>
          <t>PEN</t>
        </is>
      </c>
    </row>
    <row r="505">
      <c r="A505" s="84" t="n">
        <v>31014096</v>
      </c>
      <c r="B505" s="67" t="inlineStr">
        <is>
          <t>TPSU</t>
        </is>
      </c>
      <c r="C505" s="90" t="inlineStr">
        <is>
          <t>L001</t>
        </is>
      </c>
      <c r="D505" s="84" t="n">
        <v>1070701</v>
      </c>
      <c r="E505" s="80" t="inlineStr">
        <is>
          <t>TEE 1" SCH80 SOLD.</t>
        </is>
      </c>
      <c r="F505" s="67" t="inlineStr">
        <is>
          <t>UN</t>
        </is>
      </c>
      <c r="G505" s="84" t="n">
        <v>4</v>
      </c>
      <c r="H505" s="57" t="inlineStr"/>
      <c r="I505" s="139" t="n">
        <v>18.4</v>
      </c>
      <c r="J505" s="140" t="n">
        <v>4.6</v>
      </c>
      <c r="K505" s="86" t="inlineStr">
        <is>
          <t>PEN</t>
        </is>
      </c>
    </row>
    <row r="506">
      <c r="A506" s="84" t="n">
        <v>31015520</v>
      </c>
      <c r="B506" s="67" t="inlineStr">
        <is>
          <t>TPSU</t>
        </is>
      </c>
      <c r="C506" s="90" t="inlineStr">
        <is>
          <t>L001</t>
        </is>
      </c>
      <c r="D506" s="84" t="n">
        <v>1070701</v>
      </c>
      <c r="E506" s="80" t="inlineStr">
        <is>
          <t>TEE 1/2" GALV.</t>
        </is>
      </c>
      <c r="F506" s="67" t="inlineStr">
        <is>
          <t>UN</t>
        </is>
      </c>
      <c r="G506" s="84" t="n">
        <v>1</v>
      </c>
      <c r="H506" s="57" t="inlineStr"/>
      <c r="I506" s="139" t="n">
        <v>1.75</v>
      </c>
      <c r="J506" s="140" t="n">
        <v>1.75</v>
      </c>
      <c r="K506" s="86" t="inlineStr">
        <is>
          <t>PEN</t>
        </is>
      </c>
    </row>
    <row r="507">
      <c r="A507" s="84" t="n">
        <v>31014146</v>
      </c>
      <c r="B507" s="67" t="inlineStr">
        <is>
          <t>TPSU</t>
        </is>
      </c>
      <c r="C507" s="90" t="inlineStr">
        <is>
          <t>L001</t>
        </is>
      </c>
      <c r="D507" s="84" t="n">
        <v>1070701</v>
      </c>
      <c r="E507" s="80" t="inlineStr">
        <is>
          <t>TEE FEN. ROSC. 1/2"</t>
        </is>
      </c>
      <c r="F507" s="67" t="inlineStr">
        <is>
          <t>UN</t>
        </is>
      </c>
      <c r="G507" s="84" t="n">
        <v>2</v>
      </c>
      <c r="H507" s="57" t="inlineStr"/>
      <c r="I507" s="139" t="n">
        <v>2.77</v>
      </c>
      <c r="J507" s="140" t="n">
        <v>1.385</v>
      </c>
      <c r="K507" s="86" t="inlineStr">
        <is>
          <t>PEN</t>
        </is>
      </c>
    </row>
    <row r="508">
      <c r="A508" s="84" t="n">
        <v>31014210</v>
      </c>
      <c r="B508" s="67" t="inlineStr">
        <is>
          <t>TPSU</t>
        </is>
      </c>
      <c r="C508" s="90" t="inlineStr">
        <is>
          <t>L001</t>
        </is>
      </c>
      <c r="D508" s="84" t="n">
        <v>1070701</v>
      </c>
      <c r="E508" s="80" t="inlineStr">
        <is>
          <t>TEE SCH40 SOLD. 1.1/2"</t>
        </is>
      </c>
      <c r="F508" s="67" t="inlineStr">
        <is>
          <t>UN</t>
        </is>
      </c>
      <c r="G508" s="84" t="n">
        <v>1</v>
      </c>
      <c r="H508" s="57" t="inlineStr"/>
      <c r="I508" s="139" t="n">
        <v>6.8</v>
      </c>
      <c r="J508" s="140" t="n">
        <v>6.8</v>
      </c>
      <c r="K508" s="86" t="inlineStr">
        <is>
          <t>PEN</t>
        </is>
      </c>
    </row>
    <row r="509">
      <c r="A509" s="84" t="n">
        <v>31009533</v>
      </c>
      <c r="B509" s="67" t="inlineStr">
        <is>
          <t>TPSU</t>
        </is>
      </c>
      <c r="C509" s="90" t="inlineStr">
        <is>
          <t>L001</t>
        </is>
      </c>
      <c r="D509" s="84" t="n">
        <v>1070702</v>
      </c>
      <c r="E509" s="80" t="inlineStr">
        <is>
          <t>CODO 90º INOX 304 SCH10 SOLD. 1.1/4"</t>
        </is>
      </c>
      <c r="F509" s="67" t="inlineStr">
        <is>
          <t>UN</t>
        </is>
      </c>
      <c r="G509" s="84" t="n">
        <v>8</v>
      </c>
      <c r="H509" s="57" t="inlineStr">
        <is>
          <t>NUEVO</t>
        </is>
      </c>
      <c r="I509" s="139" t="n">
        <v>66.40000000000001</v>
      </c>
      <c r="J509" s="140" t="n">
        <v>8.300000000000001</v>
      </c>
      <c r="K509" s="86" t="inlineStr">
        <is>
          <t>PEN</t>
        </is>
      </c>
    </row>
    <row r="510">
      <c r="A510" s="84" t="n">
        <v>31009560</v>
      </c>
      <c r="B510" s="67" t="inlineStr">
        <is>
          <t>TPSU</t>
        </is>
      </c>
      <c r="C510" s="90" t="inlineStr">
        <is>
          <t>L001</t>
        </is>
      </c>
      <c r="D510" s="84" t="n">
        <v>1070702</v>
      </c>
      <c r="E510" s="80" t="inlineStr">
        <is>
          <t>CODO 90º SCH 40 SOLD. 1.1/2"</t>
        </is>
      </c>
      <c r="F510" s="67" t="inlineStr">
        <is>
          <t>UN</t>
        </is>
      </c>
      <c r="G510" s="84" t="n">
        <v>6</v>
      </c>
      <c r="H510" s="57" t="inlineStr"/>
      <c r="I510" s="139" t="n">
        <v>24.9</v>
      </c>
      <c r="J510" s="140" t="n">
        <v>4.149999999999999</v>
      </c>
      <c r="K510" s="86" t="inlineStr">
        <is>
          <t>PEN</t>
        </is>
      </c>
    </row>
    <row r="511">
      <c r="A511" s="84" t="n">
        <v>31009559</v>
      </c>
      <c r="B511" s="67" t="inlineStr">
        <is>
          <t>TPSU</t>
        </is>
      </c>
      <c r="C511" s="90" t="inlineStr">
        <is>
          <t>L001</t>
        </is>
      </c>
      <c r="D511" s="84" t="n">
        <v>1070702</v>
      </c>
      <c r="E511" s="80" t="inlineStr">
        <is>
          <t>CODO 90º SCH 40 SOLD. 1"</t>
        </is>
      </c>
      <c r="F511" s="67" t="inlineStr">
        <is>
          <t>UN</t>
        </is>
      </c>
      <c r="G511" s="84" t="n">
        <v>3</v>
      </c>
      <c r="H511" s="57" t="inlineStr"/>
      <c r="I511" s="139" t="n">
        <v>3.15</v>
      </c>
      <c r="J511" s="140" t="n">
        <v>1.05</v>
      </c>
      <c r="K511" s="86" t="inlineStr">
        <is>
          <t>PEN</t>
        </is>
      </c>
    </row>
    <row r="512">
      <c r="A512" s="84" t="n">
        <v>31009576</v>
      </c>
      <c r="B512" s="67" t="inlineStr">
        <is>
          <t>TPSU</t>
        </is>
      </c>
      <c r="C512" s="90" t="inlineStr">
        <is>
          <t>L001</t>
        </is>
      </c>
      <c r="D512" s="84" t="n">
        <v>1070702</v>
      </c>
      <c r="E512" s="80" t="inlineStr">
        <is>
          <t>CODO 90º SCH40 SOLD. 3/4"</t>
        </is>
      </c>
      <c r="F512" s="67" t="inlineStr">
        <is>
          <t>UN</t>
        </is>
      </c>
      <c r="G512" s="84" t="n">
        <v>6</v>
      </c>
      <c r="H512" s="57" t="inlineStr"/>
      <c r="I512" s="139" t="n">
        <v>4.5</v>
      </c>
      <c r="J512" s="140" t="n">
        <v>0.75</v>
      </c>
      <c r="K512" s="86" t="inlineStr">
        <is>
          <t>PEN</t>
        </is>
      </c>
    </row>
    <row r="513">
      <c r="A513" s="84" t="n">
        <v>31009585</v>
      </c>
      <c r="B513" s="67" t="inlineStr">
        <is>
          <t>TPSU</t>
        </is>
      </c>
      <c r="C513" s="90" t="inlineStr">
        <is>
          <t>L001</t>
        </is>
      </c>
      <c r="D513" s="84" t="n">
        <v>1070702</v>
      </c>
      <c r="E513" s="80" t="inlineStr">
        <is>
          <t>CODO 90º SCH80 SOLD. 1"</t>
        </is>
      </c>
      <c r="F513" s="67" t="inlineStr">
        <is>
          <t>UN</t>
        </is>
      </c>
      <c r="G513" s="84" t="n">
        <v>2</v>
      </c>
      <c r="H513" s="57" t="inlineStr"/>
      <c r="I513" s="139" t="n">
        <v>2.68</v>
      </c>
      <c r="J513" s="140" t="n">
        <v>1.34</v>
      </c>
      <c r="K513" s="86" t="inlineStr">
        <is>
          <t>PEN</t>
        </is>
      </c>
    </row>
    <row r="514">
      <c r="A514" s="84" t="n">
        <v>31009570</v>
      </c>
      <c r="B514" s="67" t="inlineStr">
        <is>
          <t>TPSU</t>
        </is>
      </c>
      <c r="C514" s="90" t="inlineStr">
        <is>
          <t>L001</t>
        </is>
      </c>
      <c r="D514" s="84" t="n">
        <v>1070703</v>
      </c>
      <c r="E514" s="80" t="inlineStr">
        <is>
          <t>CODO 90º SCH40 SOLD. 1.1/4"</t>
        </is>
      </c>
      <c r="F514" s="67" t="inlineStr">
        <is>
          <t>UN</t>
        </is>
      </c>
      <c r="G514" s="84" t="n">
        <v>12</v>
      </c>
      <c r="H514" s="57" t="inlineStr">
        <is>
          <t>NUEVO</t>
        </is>
      </c>
      <c r="I514" s="139" t="n">
        <v>17.64</v>
      </c>
      <c r="J514" s="140" t="n">
        <v>1.47</v>
      </c>
      <c r="K514" s="86" t="inlineStr">
        <is>
          <t>PEN</t>
        </is>
      </c>
    </row>
    <row r="515">
      <c r="A515" s="84" t="n">
        <v>31009573</v>
      </c>
      <c r="B515" s="67" t="inlineStr">
        <is>
          <t>TPSU</t>
        </is>
      </c>
      <c r="C515" s="90" t="inlineStr">
        <is>
          <t>L001</t>
        </is>
      </c>
      <c r="D515" s="84" t="n">
        <v>1070703</v>
      </c>
      <c r="E515" s="141" t="inlineStr">
        <is>
          <t>CODO 90º SCH40 SOLD. 2"</t>
        </is>
      </c>
      <c r="F515" s="67" t="inlineStr">
        <is>
          <t>UN</t>
        </is>
      </c>
      <c r="G515" s="84" t="n">
        <v>11</v>
      </c>
      <c r="H515" s="57" t="inlineStr"/>
      <c r="I515" s="139" t="n">
        <v>69.19</v>
      </c>
      <c r="J515" s="140" t="n">
        <v>6.29</v>
      </c>
      <c r="K515" s="86" t="inlineStr">
        <is>
          <t>PEN</t>
        </is>
      </c>
    </row>
    <row r="516">
      <c r="A516" s="84" t="n">
        <v>31009574</v>
      </c>
      <c r="B516" s="67" t="inlineStr">
        <is>
          <t>TPSU</t>
        </is>
      </c>
      <c r="C516" s="90" t="inlineStr">
        <is>
          <t>L001</t>
        </is>
      </c>
      <c r="D516" s="84" t="n">
        <v>1070704</v>
      </c>
      <c r="E516" s="80" t="inlineStr">
        <is>
          <t>CODO 90º SCH40 SOLD. 2.1/2"</t>
        </is>
      </c>
      <c r="F516" s="67" t="inlineStr">
        <is>
          <t>UN</t>
        </is>
      </c>
      <c r="G516" s="84" t="n">
        <v>13</v>
      </c>
      <c r="H516" s="57" t="inlineStr"/>
      <c r="I516" s="139" t="n">
        <v>142.35</v>
      </c>
      <c r="J516" s="140" t="n">
        <v>10.95</v>
      </c>
      <c r="K516" s="86" t="inlineStr">
        <is>
          <t>PEN</t>
        </is>
      </c>
    </row>
    <row r="517">
      <c r="A517" s="84" t="n">
        <v>31009575</v>
      </c>
      <c r="B517" s="67" t="inlineStr">
        <is>
          <t>TPSU</t>
        </is>
      </c>
      <c r="C517" s="90" t="inlineStr">
        <is>
          <t>L001</t>
        </is>
      </c>
      <c r="D517" s="84" t="n">
        <v>1070704</v>
      </c>
      <c r="E517" s="80" t="inlineStr">
        <is>
          <t>CODO 90º SCH40 SOLD. 3"</t>
        </is>
      </c>
      <c r="F517" s="67" t="inlineStr">
        <is>
          <t>UN</t>
        </is>
      </c>
      <c r="G517" s="84" t="n">
        <v>3</v>
      </c>
      <c r="H517" s="57" t="inlineStr"/>
      <c r="I517" s="139" t="n">
        <v>48.63</v>
      </c>
      <c r="J517" s="140" t="n">
        <v>16.21</v>
      </c>
      <c r="K517" s="86" t="inlineStr">
        <is>
          <t>PEN</t>
        </is>
      </c>
    </row>
    <row r="518">
      <c r="A518" s="84" t="n">
        <v>31009534</v>
      </c>
      <c r="B518" s="67" t="inlineStr">
        <is>
          <t>TPSU</t>
        </is>
      </c>
      <c r="C518" s="90" t="inlineStr">
        <is>
          <t>L004</t>
        </is>
      </c>
      <c r="D518" s="84" t="n">
        <v>1070705</v>
      </c>
      <c r="E518" s="80" t="inlineStr">
        <is>
          <t>CODO 90º INOX 304 SCH10 SOLD. 4"</t>
        </is>
      </c>
      <c r="F518" s="67" t="inlineStr">
        <is>
          <t>UN</t>
        </is>
      </c>
      <c r="G518" s="84" t="n">
        <v>3</v>
      </c>
      <c r="H518" s="57" t="inlineStr"/>
      <c r="I518" s="139" t="n">
        <v>161.73</v>
      </c>
      <c r="J518" s="140" t="n">
        <v>53.91</v>
      </c>
      <c r="K518" s="86" t="inlineStr">
        <is>
          <t>PEN</t>
        </is>
      </c>
    </row>
    <row r="519">
      <c r="A519" s="84" t="n">
        <v>33040826</v>
      </c>
      <c r="B519" s="67" t="inlineStr">
        <is>
          <t>TPSU</t>
        </is>
      </c>
      <c r="C519" s="90" t="inlineStr">
        <is>
          <t>L004</t>
        </is>
      </c>
      <c r="D519" s="84" t="n">
        <v>1070801</v>
      </c>
      <c r="E519" s="80" t="inlineStr">
        <is>
          <t>MEDIO PASO DOBLE 1.1/2" ASA 120-2</t>
        </is>
      </c>
      <c r="F519" s="67" t="inlineStr">
        <is>
          <t>UN</t>
        </is>
      </c>
      <c r="G519" s="84" t="n">
        <v>1</v>
      </c>
      <c r="H519" s="57" t="inlineStr"/>
      <c r="I519" s="139" t="n">
        <v>31.83</v>
      </c>
      <c r="J519" s="140" t="n">
        <v>31.83</v>
      </c>
      <c r="K519" s="86" t="inlineStr">
        <is>
          <t>PEN</t>
        </is>
      </c>
    </row>
    <row r="520">
      <c r="A520" s="84" t="n">
        <v>33035052</v>
      </c>
      <c r="B520" s="67" t="inlineStr">
        <is>
          <t>TPSU</t>
        </is>
      </c>
      <c r="C520" s="90" t="inlineStr">
        <is>
          <t>L001</t>
        </is>
      </c>
      <c r="D520" s="84" t="n">
        <v>1070801</v>
      </c>
      <c r="E520" s="80" t="inlineStr">
        <is>
          <t>MEDIO PASO DOBLE 1.3/4" ASA 140-2</t>
        </is>
      </c>
      <c r="F520" s="67" t="inlineStr">
        <is>
          <t>UN</t>
        </is>
      </c>
      <c r="G520" s="84" t="n">
        <v>1</v>
      </c>
      <c r="H520" s="57" t="inlineStr"/>
      <c r="I520" s="139" t="n">
        <v>43.39</v>
      </c>
      <c r="J520" s="140" t="n">
        <v>43.39</v>
      </c>
      <c r="K520" s="86" t="inlineStr">
        <is>
          <t>PEN</t>
        </is>
      </c>
    </row>
    <row r="521">
      <c r="A521" s="84" t="n">
        <v>33035057</v>
      </c>
      <c r="B521" s="67" t="inlineStr">
        <is>
          <t>TPSU</t>
        </is>
      </c>
      <c r="C521" s="90" t="inlineStr">
        <is>
          <t>L001</t>
        </is>
      </c>
      <c r="D521" s="84" t="n">
        <v>1070801</v>
      </c>
      <c r="E521" s="80" t="inlineStr">
        <is>
          <t>MEDIO PASO SIMPLE 1.1/2" ASA 120-1</t>
        </is>
      </c>
      <c r="F521" s="67" t="inlineStr">
        <is>
          <t>UN</t>
        </is>
      </c>
      <c r="G521" s="84" t="n">
        <v>11</v>
      </c>
      <c r="H521" s="57" t="inlineStr"/>
      <c r="I521" s="139" t="n">
        <v>166.76</v>
      </c>
      <c r="J521" s="140" t="n">
        <v>15.16</v>
      </c>
      <c r="K521" s="86" t="inlineStr">
        <is>
          <t>PEN</t>
        </is>
      </c>
    </row>
    <row r="522">
      <c r="A522" s="84" t="n">
        <v>33035063</v>
      </c>
      <c r="B522" s="67" t="inlineStr">
        <is>
          <t>TPSU</t>
        </is>
      </c>
      <c r="C522" s="90" t="inlineStr">
        <is>
          <t>L001</t>
        </is>
      </c>
      <c r="D522" s="84" t="n">
        <v>1070801</v>
      </c>
      <c r="E522" s="80" t="inlineStr">
        <is>
          <t>MEDIO PASO SIMPLE 5/8" ASA 50-1</t>
        </is>
      </c>
      <c r="F522" s="67" t="inlineStr">
        <is>
          <t>UN</t>
        </is>
      </c>
      <c r="G522" s="84" t="n">
        <v>2</v>
      </c>
      <c r="H522" s="57" t="inlineStr"/>
      <c r="I522" s="139" t="n">
        <v>4.5</v>
      </c>
      <c r="J522" s="140" t="n">
        <v>2.25</v>
      </c>
      <c r="K522" s="86" t="inlineStr">
        <is>
          <t>PEN</t>
        </is>
      </c>
    </row>
    <row r="523">
      <c r="A523" s="84" t="n">
        <v>33030882</v>
      </c>
      <c r="B523" s="67" t="inlineStr">
        <is>
          <t>TPSU</t>
        </is>
      </c>
      <c r="C523" s="90" t="inlineStr">
        <is>
          <t>L001</t>
        </is>
      </c>
      <c r="D523" s="84" t="n">
        <v>1070802</v>
      </c>
      <c r="E523" s="80" t="inlineStr">
        <is>
          <t>CANDADO DOBLE 1.1/2" ASA 120-2</t>
        </is>
      </c>
      <c r="F523" s="67" t="inlineStr">
        <is>
          <t>UN</t>
        </is>
      </c>
      <c r="G523" s="84" t="n">
        <v>17</v>
      </c>
      <c r="H523" s="57" t="inlineStr"/>
      <c r="I523" s="139" t="n">
        <v>257.86</v>
      </c>
      <c r="J523" s="140" t="n">
        <v>15.16823529411765</v>
      </c>
      <c r="K523" s="86" t="inlineStr">
        <is>
          <t>PEN</t>
        </is>
      </c>
    </row>
    <row r="524">
      <c r="A524" s="84" t="n">
        <v>33030884</v>
      </c>
      <c r="B524" s="67" t="inlineStr">
        <is>
          <t>TPSU</t>
        </is>
      </c>
      <c r="C524" s="90" t="inlineStr">
        <is>
          <t>L004</t>
        </is>
      </c>
      <c r="D524" s="84" t="n">
        <v>1070802</v>
      </c>
      <c r="E524" s="80" t="inlineStr">
        <is>
          <t>CANDADO DOBLE 1.3/4" ASA 140-2</t>
        </is>
      </c>
      <c r="F524" s="67" t="inlineStr">
        <is>
          <t>UN</t>
        </is>
      </c>
      <c r="G524" s="84" t="n">
        <v>2</v>
      </c>
      <c r="H524" s="57" t="inlineStr"/>
      <c r="I524" s="139" t="n">
        <v>42.92</v>
      </c>
      <c r="J524" s="140" t="n">
        <v>21.46</v>
      </c>
      <c r="K524" s="86" t="inlineStr">
        <is>
          <t>PEN</t>
        </is>
      </c>
    </row>
    <row r="525">
      <c r="A525" s="84" t="n">
        <v>33030900</v>
      </c>
      <c r="B525" s="67" t="inlineStr">
        <is>
          <t>TPSU</t>
        </is>
      </c>
      <c r="C525" s="90" t="inlineStr">
        <is>
          <t>L001</t>
        </is>
      </c>
      <c r="D525" s="84" t="n">
        <v>1070802</v>
      </c>
      <c r="E525" s="80" t="inlineStr">
        <is>
          <t>CANDADO SIMPLE 1.1/2" ASA 120-1</t>
        </is>
      </c>
      <c r="F525" s="67" t="inlineStr">
        <is>
          <t>UN</t>
        </is>
      </c>
      <c r="G525" s="84" t="n">
        <v>17</v>
      </c>
      <c r="H525" s="57" t="inlineStr"/>
      <c r="I525" s="139" t="n">
        <v>123.84</v>
      </c>
      <c r="J525" s="140" t="n">
        <v>7.284705882352942</v>
      </c>
      <c r="K525" s="86" t="inlineStr">
        <is>
          <t>PEN</t>
        </is>
      </c>
    </row>
    <row r="526">
      <c r="A526" s="84" t="n">
        <v>33030907</v>
      </c>
      <c r="B526" s="67" t="inlineStr">
        <is>
          <t>TPSU</t>
        </is>
      </c>
      <c r="C526" s="90" t="inlineStr">
        <is>
          <t>L001</t>
        </is>
      </c>
      <c r="D526" s="84" t="n">
        <v>1070802</v>
      </c>
      <c r="E526" s="80" t="inlineStr">
        <is>
          <t>CANDADO SIMPLE 3/4" ASA 60-1</t>
        </is>
      </c>
      <c r="F526" s="67" t="inlineStr">
        <is>
          <t>UN</t>
        </is>
      </c>
      <c r="G526" s="84" t="n">
        <v>1</v>
      </c>
      <c r="H526" s="57" t="inlineStr"/>
      <c r="I526" s="139" t="n">
        <v>1.5</v>
      </c>
      <c r="J526" s="140" t="n">
        <v>1.5</v>
      </c>
      <c r="K526" s="86" t="inlineStr">
        <is>
          <t>PEN</t>
        </is>
      </c>
    </row>
    <row r="527">
      <c r="A527" s="84" t="n">
        <v>33030908</v>
      </c>
      <c r="B527" s="67" t="inlineStr">
        <is>
          <t>TPSU</t>
        </is>
      </c>
      <c r="C527" s="90" t="inlineStr">
        <is>
          <t>L001</t>
        </is>
      </c>
      <c r="D527" s="84" t="n">
        <v>1070802</v>
      </c>
      <c r="E527" s="80" t="inlineStr">
        <is>
          <t>CANDADO SIMPLE 5/8" BS 10B-1</t>
        </is>
      </c>
      <c r="F527" s="67" t="inlineStr">
        <is>
          <t>UN</t>
        </is>
      </c>
      <c r="G527" s="84" t="n">
        <v>2</v>
      </c>
      <c r="H527" s="57" t="inlineStr"/>
      <c r="I527" s="139" t="n">
        <v>4.36</v>
      </c>
      <c r="J527" s="140" t="n">
        <v>2.18</v>
      </c>
      <c r="K527" s="86" t="inlineStr">
        <is>
          <t>PEN</t>
        </is>
      </c>
    </row>
    <row r="528">
      <c r="A528" s="84" t="n">
        <v>33030751</v>
      </c>
      <c r="B528" s="67" t="inlineStr">
        <is>
          <t>TPSU</t>
        </is>
      </c>
      <c r="C528" s="90" t="inlineStr">
        <is>
          <t>L001</t>
        </is>
      </c>
      <c r="D528" s="84" t="n">
        <v>1070803</v>
      </c>
      <c r="E528" s="80" t="inlineStr">
        <is>
          <t>CADENA PASO LARGO 1.1/2"  2060</t>
        </is>
      </c>
      <c r="F528" s="67" t="inlineStr">
        <is>
          <t>M</t>
        </is>
      </c>
      <c r="G528" s="84" t="n">
        <v>6</v>
      </c>
      <c r="H528" s="57" t="inlineStr"/>
      <c r="I528" s="139" t="n">
        <v>166.84</v>
      </c>
      <c r="J528" s="140" t="n">
        <v>27.80666666666667</v>
      </c>
      <c r="K528" s="86" t="inlineStr">
        <is>
          <t>PEN</t>
        </is>
      </c>
    </row>
    <row r="529">
      <c r="A529" s="84" t="n">
        <v>33030766</v>
      </c>
      <c r="B529" s="67" t="inlineStr">
        <is>
          <t>TPSU</t>
        </is>
      </c>
      <c r="C529" s="90" t="inlineStr">
        <is>
          <t>L001</t>
        </is>
      </c>
      <c r="D529" s="84" t="n">
        <v>1070803</v>
      </c>
      <c r="E529" s="80" t="inlineStr">
        <is>
          <t>CADENA SIMPLE 1.1/2" TIPO BS</t>
        </is>
      </c>
      <c r="F529" s="67" t="inlineStr">
        <is>
          <t>M</t>
        </is>
      </c>
      <c r="G529" s="84" t="n">
        <v>0.5</v>
      </c>
      <c r="H529" s="57" t="inlineStr"/>
      <c r="I529" s="139" t="n">
        <v>59.58</v>
      </c>
      <c r="J529" s="140" t="n">
        <v>119.16</v>
      </c>
      <c r="K529" s="86" t="inlineStr">
        <is>
          <t>PEN</t>
        </is>
      </c>
    </row>
    <row r="530">
      <c r="A530" s="84" t="n">
        <v>33030775</v>
      </c>
      <c r="B530" s="67" t="inlineStr">
        <is>
          <t>TPSU</t>
        </is>
      </c>
      <c r="C530" s="90" t="inlineStr">
        <is>
          <t>L001</t>
        </is>
      </c>
      <c r="D530" s="84" t="n">
        <v>1070803</v>
      </c>
      <c r="E530" s="80" t="inlineStr">
        <is>
          <t>CADENA SIMPLE 3/4" ASA 60-1</t>
        </is>
      </c>
      <c r="F530" s="67" t="inlineStr">
        <is>
          <t>M</t>
        </is>
      </c>
      <c r="G530" s="84" t="n">
        <v>6</v>
      </c>
      <c r="H530" s="57" t="inlineStr"/>
      <c r="I530" s="139" t="n">
        <v>191.07</v>
      </c>
      <c r="J530" s="140" t="n">
        <v>31.845</v>
      </c>
      <c r="K530" s="86" t="inlineStr">
        <is>
          <t>PEN</t>
        </is>
      </c>
    </row>
    <row r="531">
      <c r="A531" s="84" t="n">
        <v>33030776</v>
      </c>
      <c r="B531" s="67" t="inlineStr">
        <is>
          <t>TPSU</t>
        </is>
      </c>
      <c r="C531" s="90" t="inlineStr">
        <is>
          <t>L001</t>
        </is>
      </c>
      <c r="D531" s="84" t="n">
        <v>1070803</v>
      </c>
      <c r="E531" s="80" t="inlineStr">
        <is>
          <t>CADENA SIMPLE 5/8" BS 10B-1</t>
        </is>
      </c>
      <c r="F531" s="67" t="inlineStr">
        <is>
          <t>M</t>
        </is>
      </c>
      <c r="G531" s="84" t="n">
        <v>3</v>
      </c>
      <c r="H531" s="57" t="inlineStr"/>
      <c r="I531" s="139" t="n">
        <v>68.12</v>
      </c>
      <c r="J531" s="140" t="n">
        <v>22.70666666666667</v>
      </c>
      <c r="K531" s="86" t="inlineStr">
        <is>
          <t>PEN</t>
        </is>
      </c>
    </row>
    <row r="532">
      <c r="A532" s="84" t="n">
        <v>33030732</v>
      </c>
      <c r="B532" s="67" t="inlineStr">
        <is>
          <t>TPSU</t>
        </is>
      </c>
      <c r="C532" s="90" t="inlineStr">
        <is>
          <t>L001</t>
        </is>
      </c>
      <c r="D532" s="84" t="n">
        <v>1070804</v>
      </c>
      <c r="E532" s="80" t="inlineStr">
        <is>
          <t>CADENA DOBLE 1.1/2" ASA 120-2</t>
        </is>
      </c>
      <c r="F532" s="67" t="inlineStr">
        <is>
          <t>M</t>
        </is>
      </c>
      <c r="G532" s="84" t="n">
        <v>6.1</v>
      </c>
      <c r="H532" s="57" t="inlineStr"/>
      <c r="I532" s="139" t="n">
        <v>1432.91</v>
      </c>
      <c r="J532" s="140" t="n">
        <v>234.9032786885246</v>
      </c>
      <c r="K532" s="86" t="inlineStr">
        <is>
          <t>PEN</t>
        </is>
      </c>
    </row>
    <row r="533">
      <c r="A533" s="84" t="n">
        <v>33030764</v>
      </c>
      <c r="B533" s="67" t="inlineStr">
        <is>
          <t>TPSU</t>
        </is>
      </c>
      <c r="C533" s="90" t="inlineStr">
        <is>
          <t>L001</t>
        </is>
      </c>
      <c r="D533" s="84" t="n">
        <v>1070804</v>
      </c>
      <c r="E533" s="80" t="inlineStr">
        <is>
          <t>CADENA SIMPLE 1.1/2" ASA 120-1</t>
        </is>
      </c>
      <c r="F533" s="67" t="inlineStr">
        <is>
          <t>M</t>
        </is>
      </c>
      <c r="G533" s="84" t="n">
        <v>12.2</v>
      </c>
      <c r="H533" s="57" t="inlineStr"/>
      <c r="I533" s="139" t="n">
        <v>1504.46</v>
      </c>
      <c r="J533" s="140" t="n">
        <v>123.316393442623</v>
      </c>
      <c r="K533" s="86" t="inlineStr">
        <is>
          <t>PEN</t>
        </is>
      </c>
    </row>
    <row r="534">
      <c r="A534" s="84" t="n">
        <v>33030886</v>
      </c>
      <c r="B534" s="67" t="inlineStr">
        <is>
          <t>TPSU</t>
        </is>
      </c>
      <c r="C534" s="90" t="inlineStr">
        <is>
          <t>L001</t>
        </is>
      </c>
      <c r="D534" s="84" t="n">
        <v>1070804</v>
      </c>
      <c r="E534" s="80" t="inlineStr">
        <is>
          <t>CANDADO DOBLE 3" ASA 240-2</t>
        </is>
      </c>
      <c r="F534" s="67" t="inlineStr">
        <is>
          <t>UN</t>
        </is>
      </c>
      <c r="G534" s="84" t="n">
        <v>1</v>
      </c>
      <c r="H534" s="57" t="inlineStr"/>
      <c r="I534" s="139" t="n">
        <v>169.11</v>
      </c>
      <c r="J534" s="140" t="n">
        <v>169.11</v>
      </c>
      <c r="K534" s="86" t="inlineStr">
        <is>
          <t>PEN</t>
        </is>
      </c>
    </row>
    <row r="535">
      <c r="A535" s="84" t="n">
        <v>33035866</v>
      </c>
      <c r="B535" s="67" t="inlineStr">
        <is>
          <t>TPSU</t>
        </is>
      </c>
      <c r="C535" s="90" t="inlineStr">
        <is>
          <t>L001</t>
        </is>
      </c>
      <c r="D535" s="84" t="n">
        <v>1070805</v>
      </c>
      <c r="E535" s="80" t="inlineStr">
        <is>
          <t>PIÑON SIMPLE 1.1/2" 15T SAE1045 ASA120</t>
        </is>
      </c>
      <c r="F535" s="67" t="inlineStr">
        <is>
          <t>UN</t>
        </is>
      </c>
      <c r="G535" s="84" t="n">
        <v>1</v>
      </c>
      <c r="H535" s="57" t="inlineStr"/>
      <c r="I535" s="139" t="n">
        <v>129.63</v>
      </c>
      <c r="J535" s="140" t="n">
        <v>129.63</v>
      </c>
      <c r="K535" s="86" t="inlineStr">
        <is>
          <t>PEN</t>
        </is>
      </c>
    </row>
    <row r="536">
      <c r="A536" s="84" t="n">
        <v>33035874</v>
      </c>
      <c r="B536" s="67" t="inlineStr">
        <is>
          <t>TPSU</t>
        </is>
      </c>
      <c r="C536" s="90" t="inlineStr">
        <is>
          <t>L001</t>
        </is>
      </c>
      <c r="D536" s="84" t="n">
        <v>1070805</v>
      </c>
      <c r="E536" s="80" t="inlineStr">
        <is>
          <t>PIÑON SIMPLE 1.1/2" 25T SAE1045 ASA120</t>
        </is>
      </c>
      <c r="F536" s="67" t="inlineStr">
        <is>
          <t>UN</t>
        </is>
      </c>
      <c r="G536" s="84" t="n">
        <v>1</v>
      </c>
      <c r="H536" s="57" t="inlineStr"/>
      <c r="I536" s="139" t="n">
        <v>258.03</v>
      </c>
      <c r="J536" s="140" t="n">
        <v>258.03</v>
      </c>
      <c r="K536" s="86" t="inlineStr">
        <is>
          <t>PEN</t>
        </is>
      </c>
    </row>
    <row r="537">
      <c r="A537" s="84" t="n">
        <v>33036054</v>
      </c>
      <c r="B537" s="67" t="inlineStr">
        <is>
          <t>TPSU</t>
        </is>
      </c>
      <c r="C537" s="90" t="inlineStr">
        <is>
          <t>L001</t>
        </is>
      </c>
      <c r="D537" s="84" t="n">
        <v>1070805</v>
      </c>
      <c r="E537" s="80" t="inlineStr">
        <is>
          <t>POLEA 5V/2 CANAL ØEXT. 10" FE C/BUJE</t>
        </is>
      </c>
      <c r="F537" s="67" t="inlineStr">
        <is>
          <t>UN</t>
        </is>
      </c>
      <c r="G537" s="84" t="n">
        <v>1</v>
      </c>
      <c r="H537" s="57" t="inlineStr"/>
      <c r="I537" s="139" t="n">
        <v>629.28</v>
      </c>
      <c r="J537" s="140" t="n">
        <v>629.28</v>
      </c>
      <c r="K537" s="86" t="inlineStr">
        <is>
          <t>PEN</t>
        </is>
      </c>
    </row>
    <row r="538">
      <c r="A538" s="84" t="n">
        <v>31015382</v>
      </c>
      <c r="B538" s="67" t="inlineStr">
        <is>
          <t>TPSU</t>
        </is>
      </c>
      <c r="C538" s="90" t="inlineStr">
        <is>
          <t>L001</t>
        </is>
      </c>
      <c r="D538" s="84" t="n">
        <v>1080101</v>
      </c>
      <c r="E538" s="80" t="inlineStr">
        <is>
          <t>NIPLE 1/2" X 2" NPT INOX.</t>
        </is>
      </c>
      <c r="F538" s="67" t="inlineStr">
        <is>
          <t>UN</t>
        </is>
      </c>
      <c r="G538" s="84" t="n">
        <v>6</v>
      </c>
      <c r="H538" s="57" t="inlineStr"/>
      <c r="I538" s="139" t="n">
        <v>21.18</v>
      </c>
      <c r="J538" s="140" t="n">
        <v>3.53</v>
      </c>
      <c r="K538" s="86" t="inlineStr">
        <is>
          <t>PEN</t>
        </is>
      </c>
    </row>
    <row r="539">
      <c r="A539" s="84" t="n">
        <v>31011763</v>
      </c>
      <c r="B539" s="67" t="inlineStr">
        <is>
          <t>TPSU</t>
        </is>
      </c>
      <c r="C539" s="90" t="inlineStr">
        <is>
          <t>L001</t>
        </is>
      </c>
      <c r="D539" s="84" t="n">
        <v>1080101</v>
      </c>
      <c r="E539" s="80" t="inlineStr">
        <is>
          <t>NIPLE 1/2" X 2" SCH40</t>
        </is>
      </c>
      <c r="F539" s="67" t="inlineStr">
        <is>
          <t>UN</t>
        </is>
      </c>
      <c r="G539" s="84" t="n">
        <v>4</v>
      </c>
      <c r="H539" s="57" t="inlineStr"/>
      <c r="I539" s="139" t="n">
        <v>2.44</v>
      </c>
      <c r="J539" s="140" t="n">
        <v>0.61</v>
      </c>
      <c r="K539" s="86" t="inlineStr">
        <is>
          <t>PEN</t>
        </is>
      </c>
    </row>
    <row r="540">
      <c r="A540" s="84" t="n">
        <v>31011768</v>
      </c>
      <c r="B540" s="67" t="inlineStr">
        <is>
          <t>TPSU</t>
        </is>
      </c>
      <c r="C540" s="90" t="inlineStr">
        <is>
          <t>L001</t>
        </is>
      </c>
      <c r="D540" s="84" t="n">
        <v>1080101</v>
      </c>
      <c r="E540" s="80" t="inlineStr">
        <is>
          <t>NIPLE 1/2" X 3" SCH40</t>
        </is>
      </c>
      <c r="F540" s="67" t="inlineStr">
        <is>
          <t>UN</t>
        </is>
      </c>
      <c r="G540" s="84" t="n">
        <v>8</v>
      </c>
      <c r="H540" s="57" t="inlineStr"/>
      <c r="I540" s="139" t="n">
        <v>7.04</v>
      </c>
      <c r="J540" s="140" t="n">
        <v>0.88</v>
      </c>
      <c r="K540" s="86" t="inlineStr">
        <is>
          <t>PEN</t>
        </is>
      </c>
    </row>
    <row r="541">
      <c r="A541" s="84" t="n">
        <v>31011771</v>
      </c>
      <c r="B541" s="67" t="inlineStr">
        <is>
          <t>TPSU</t>
        </is>
      </c>
      <c r="C541" s="90" t="inlineStr">
        <is>
          <t>L001</t>
        </is>
      </c>
      <c r="D541" s="84" t="n">
        <v>1080101</v>
      </c>
      <c r="E541" s="80" t="inlineStr">
        <is>
          <t>NIPLE 1/2" X 4" SCH40</t>
        </is>
      </c>
      <c r="F541" s="67" t="inlineStr">
        <is>
          <t>UN</t>
        </is>
      </c>
      <c r="G541" s="84" t="n">
        <v>6</v>
      </c>
      <c r="H541" s="57" t="inlineStr"/>
      <c r="I541" s="139" t="n">
        <v>6.3</v>
      </c>
      <c r="J541" s="140" t="n">
        <v>1.05</v>
      </c>
      <c r="K541" s="86" t="inlineStr">
        <is>
          <t>PEN</t>
        </is>
      </c>
    </row>
    <row r="542">
      <c r="A542" s="84" t="n">
        <v>31011773</v>
      </c>
      <c r="B542" s="67" t="inlineStr">
        <is>
          <t>TPSU</t>
        </is>
      </c>
      <c r="C542" s="90" t="inlineStr">
        <is>
          <t>L001</t>
        </is>
      </c>
      <c r="D542" s="84" t="n">
        <v>1080101</v>
      </c>
      <c r="E542" s="80" t="inlineStr">
        <is>
          <t>NIPLE 1/2" X 6" SCH40</t>
        </is>
      </c>
      <c r="F542" s="67" t="inlineStr">
        <is>
          <t>UN</t>
        </is>
      </c>
      <c r="G542" s="84" t="n">
        <v>8</v>
      </c>
      <c r="H542" s="57" t="inlineStr"/>
      <c r="I542" s="139" t="n">
        <v>12.4</v>
      </c>
      <c r="J542" s="140" t="n">
        <v>1.55</v>
      </c>
      <c r="K542" s="86" t="inlineStr">
        <is>
          <t>PEN</t>
        </is>
      </c>
    </row>
    <row r="543">
      <c r="A543" s="84" t="n">
        <v>31011950</v>
      </c>
      <c r="B543" s="67" t="inlineStr">
        <is>
          <t>TPSU</t>
        </is>
      </c>
      <c r="C543" s="90" t="inlineStr">
        <is>
          <t>L001</t>
        </is>
      </c>
      <c r="D543" s="84" t="n">
        <v>1080101</v>
      </c>
      <c r="E543" s="80" t="inlineStr">
        <is>
          <t>NIPLE 1/4'' X 2'' FEN.</t>
        </is>
      </c>
      <c r="F543" s="67" t="inlineStr">
        <is>
          <t>UN</t>
        </is>
      </c>
      <c r="G543" s="84" t="n">
        <v>13</v>
      </c>
      <c r="H543" s="57" t="inlineStr"/>
      <c r="I543" s="139" t="n">
        <v>8.24</v>
      </c>
      <c r="J543" s="140" t="n">
        <v>0.6338461538461538</v>
      </c>
      <c r="K543" s="86" t="inlineStr">
        <is>
          <t>PEN</t>
        </is>
      </c>
    </row>
    <row r="544">
      <c r="A544" s="84" t="n">
        <v>31011902</v>
      </c>
      <c r="B544" s="67" t="inlineStr">
        <is>
          <t>TPSU</t>
        </is>
      </c>
      <c r="C544" s="90" t="inlineStr">
        <is>
          <t>L001</t>
        </is>
      </c>
      <c r="D544" s="84" t="n">
        <v>1080102</v>
      </c>
      <c r="E544" s="80" t="inlineStr">
        <is>
          <t>NIPLE 3/4" X 3" SCH40</t>
        </is>
      </c>
      <c r="F544" s="67" t="inlineStr">
        <is>
          <t>UN</t>
        </is>
      </c>
      <c r="G544" s="84" t="n">
        <v>17</v>
      </c>
      <c r="H544" s="57" t="inlineStr"/>
      <c r="I544" s="139" t="n">
        <v>19.54</v>
      </c>
      <c r="J544" s="140" t="n">
        <v>1.149411764705882</v>
      </c>
      <c r="K544" s="86" t="inlineStr">
        <is>
          <t>PEN</t>
        </is>
      </c>
    </row>
    <row r="545">
      <c r="A545" s="84" t="n">
        <v>31011907</v>
      </c>
      <c r="B545" s="67" t="inlineStr">
        <is>
          <t>TPSU</t>
        </is>
      </c>
      <c r="C545" s="90" t="inlineStr">
        <is>
          <t>L001</t>
        </is>
      </c>
      <c r="D545" s="84" t="n">
        <v>1080102</v>
      </c>
      <c r="E545" s="80" t="inlineStr">
        <is>
          <t>NIPLE 3/4" X 4" SCH40</t>
        </is>
      </c>
      <c r="F545" s="67" t="inlineStr">
        <is>
          <t>UN</t>
        </is>
      </c>
      <c r="G545" s="84" t="n">
        <v>2</v>
      </c>
      <c r="H545" s="57" t="inlineStr"/>
      <c r="I545" s="139" t="n">
        <v>2.76</v>
      </c>
      <c r="J545" s="140" t="n">
        <v>1.38</v>
      </c>
      <c r="K545" s="86" t="inlineStr">
        <is>
          <t>PEN</t>
        </is>
      </c>
    </row>
    <row r="546">
      <c r="A546" s="84" t="n">
        <v>31011910</v>
      </c>
      <c r="B546" s="67" t="inlineStr">
        <is>
          <t>TPSU</t>
        </is>
      </c>
      <c r="C546" s="90" t="inlineStr">
        <is>
          <t>L001</t>
        </is>
      </c>
      <c r="D546" s="84" t="n">
        <v>1080102</v>
      </c>
      <c r="E546" s="80" t="inlineStr">
        <is>
          <t>NIPLE 3/4" X 6" SCH40</t>
        </is>
      </c>
      <c r="F546" s="67" t="inlineStr">
        <is>
          <t>UN</t>
        </is>
      </c>
      <c r="G546" s="84" t="n">
        <v>11</v>
      </c>
      <c r="H546" s="57" t="inlineStr"/>
      <c r="I546" s="139" t="n">
        <v>26.56</v>
      </c>
      <c r="J546" s="140" t="n">
        <v>2.414545454545455</v>
      </c>
      <c r="K546" s="86" t="inlineStr">
        <is>
          <t>PEN</t>
        </is>
      </c>
    </row>
    <row r="547">
      <c r="A547" s="84" t="n">
        <v>31011719</v>
      </c>
      <c r="B547" s="67" t="inlineStr">
        <is>
          <t>TPSU</t>
        </is>
      </c>
      <c r="C547" s="90" t="inlineStr">
        <is>
          <t>L001</t>
        </is>
      </c>
      <c r="D547" s="84" t="n">
        <v>1080103</v>
      </c>
      <c r="E547" s="80" t="inlineStr">
        <is>
          <t>NIPLE 1" X 2.1/2" SCH40</t>
        </is>
      </c>
      <c r="F547" s="67" t="inlineStr">
        <is>
          <t>UN</t>
        </is>
      </c>
      <c r="G547" s="84" t="n">
        <v>4</v>
      </c>
      <c r="H547" s="57" t="inlineStr"/>
      <c r="I547" s="139" t="n">
        <v>4.88</v>
      </c>
      <c r="J547" s="140" t="n">
        <v>1.22</v>
      </c>
      <c r="K547" s="86" t="inlineStr">
        <is>
          <t>PEN</t>
        </is>
      </c>
    </row>
    <row r="548">
      <c r="A548" s="84" t="n">
        <v>31011724</v>
      </c>
      <c r="B548" s="67" t="inlineStr">
        <is>
          <t>TPSU</t>
        </is>
      </c>
      <c r="C548" s="90" t="inlineStr">
        <is>
          <t>L001</t>
        </is>
      </c>
      <c r="D548" s="84" t="n">
        <v>1080103</v>
      </c>
      <c r="E548" s="80" t="inlineStr">
        <is>
          <t>NIPLE 1" X 4" SCH40</t>
        </is>
      </c>
      <c r="F548" s="67" t="inlineStr">
        <is>
          <t>UN</t>
        </is>
      </c>
      <c r="G548" s="84" t="n">
        <v>8</v>
      </c>
      <c r="H548" s="57" t="inlineStr"/>
      <c r="I548" s="139" t="n">
        <v>25.2</v>
      </c>
      <c r="J548" s="140" t="n">
        <v>3.15</v>
      </c>
      <c r="K548" s="86" t="inlineStr">
        <is>
          <t>PEN</t>
        </is>
      </c>
    </row>
    <row r="549">
      <c r="A549" s="84" t="n">
        <v>31011727</v>
      </c>
      <c r="B549" s="67" t="inlineStr">
        <is>
          <t>TPSU</t>
        </is>
      </c>
      <c r="C549" s="90" t="inlineStr">
        <is>
          <t>L001</t>
        </is>
      </c>
      <c r="D549" s="84" t="n">
        <v>1080103</v>
      </c>
      <c r="E549" s="80" t="inlineStr">
        <is>
          <t>NIPLE 1" X 5" SCH40</t>
        </is>
      </c>
      <c r="F549" s="67" t="inlineStr">
        <is>
          <t>UN</t>
        </is>
      </c>
      <c r="G549" s="84" t="n">
        <v>9</v>
      </c>
      <c r="H549" s="57" t="inlineStr"/>
      <c r="I549" s="139" t="n">
        <v>50.66</v>
      </c>
      <c r="J549" s="140" t="n">
        <v>5.628888888888889</v>
      </c>
      <c r="K549" s="86" t="inlineStr">
        <is>
          <t>PEN</t>
        </is>
      </c>
    </row>
    <row r="550">
      <c r="A550" s="84" t="n">
        <v>31011727</v>
      </c>
      <c r="B550" s="67" t="inlineStr">
        <is>
          <t>TPSU</t>
        </is>
      </c>
      <c r="C550" s="90" t="inlineStr">
        <is>
          <t>L001</t>
        </is>
      </c>
      <c r="D550" s="84" t="n">
        <v>1080103</v>
      </c>
      <c r="E550" s="80" t="inlineStr">
        <is>
          <t>NIPLE 1" X 5" SCH40</t>
        </is>
      </c>
      <c r="F550" s="67" t="inlineStr">
        <is>
          <t>UN</t>
        </is>
      </c>
      <c r="G550" s="84" t="n">
        <v>1</v>
      </c>
      <c r="H550" s="57" t="inlineStr"/>
      <c r="I550" s="139" t="n">
        <v>1.96</v>
      </c>
      <c r="J550" s="140" t="n">
        <v>1.96</v>
      </c>
      <c r="K550" s="86" t="inlineStr">
        <is>
          <t>PEN</t>
        </is>
      </c>
    </row>
    <row r="551">
      <c r="A551" s="84" t="n">
        <v>31011742</v>
      </c>
      <c r="B551" s="67" t="inlineStr">
        <is>
          <t>TPSU</t>
        </is>
      </c>
      <c r="C551" s="90" t="inlineStr">
        <is>
          <t>L001</t>
        </is>
      </c>
      <c r="D551" s="84" t="n">
        <v>1080104</v>
      </c>
      <c r="E551" s="80" t="inlineStr">
        <is>
          <t>NIPLE 1.1/2" X 6" SCH40</t>
        </is>
      </c>
      <c r="F551" s="67" t="inlineStr">
        <is>
          <t>UN</t>
        </is>
      </c>
      <c r="G551" s="84" t="n">
        <v>3</v>
      </c>
      <c r="H551" s="57" t="inlineStr"/>
      <c r="I551" s="139" t="n">
        <v>22.03</v>
      </c>
      <c r="J551" s="140" t="n">
        <v>7.343333333333334</v>
      </c>
      <c r="K551" s="86" t="inlineStr">
        <is>
          <t>PEN</t>
        </is>
      </c>
    </row>
    <row r="552">
      <c r="A552" s="84" t="n">
        <v>31011895</v>
      </c>
      <c r="B552" s="67" t="inlineStr">
        <is>
          <t>TPSU</t>
        </is>
      </c>
      <c r="C552" s="90" t="inlineStr">
        <is>
          <t>L001</t>
        </is>
      </c>
      <c r="D552" s="84" t="n">
        <v>1080104</v>
      </c>
      <c r="E552" s="80" t="inlineStr">
        <is>
          <t>NIPLE 3" X 8" SCH40</t>
        </is>
      </c>
      <c r="F552" s="67" t="inlineStr">
        <is>
          <t>UN</t>
        </is>
      </c>
      <c r="G552" s="84" t="n">
        <v>5</v>
      </c>
      <c r="H552" s="57" t="inlineStr"/>
      <c r="I552" s="139" t="n">
        <v>91.58</v>
      </c>
      <c r="J552" s="140" t="n">
        <v>18.316</v>
      </c>
      <c r="K552" s="86" t="inlineStr">
        <is>
          <t>PEN</t>
        </is>
      </c>
    </row>
    <row r="553">
      <c r="A553" s="84" t="n">
        <v>30000369</v>
      </c>
      <c r="B553" s="67" t="inlineStr">
        <is>
          <t>TPSU</t>
        </is>
      </c>
      <c r="C553" s="90" t="inlineStr">
        <is>
          <t>L001</t>
        </is>
      </c>
      <c r="D553" s="84" t="n">
        <v>1080202</v>
      </c>
      <c r="E553" s="80" t="inlineStr">
        <is>
          <t>ACEITE LUBRICANTE WESTFALIA CLP 46</t>
        </is>
      </c>
      <c r="F553" s="67" t="inlineStr">
        <is>
          <t>UN</t>
        </is>
      </c>
      <c r="G553" s="84" t="n">
        <v>6</v>
      </c>
      <c r="H553" s="57" t="inlineStr">
        <is>
          <t>11951191</t>
        </is>
      </c>
      <c r="I553" s="139" t="n">
        <v>2490.53</v>
      </c>
      <c r="J553" s="140" t="n">
        <v>415.0883333333334</v>
      </c>
      <c r="K553" s="86" t="inlineStr">
        <is>
          <t>PEN</t>
        </is>
      </c>
    </row>
    <row r="554">
      <c r="A554" s="84" t="n">
        <v>31008978</v>
      </c>
      <c r="B554" s="67" t="inlineStr">
        <is>
          <t>TPSU</t>
        </is>
      </c>
      <c r="C554" s="90" t="inlineStr">
        <is>
          <t>L001</t>
        </is>
      </c>
      <c r="D554" s="84" t="n">
        <v>1080203</v>
      </c>
      <c r="E554" s="80" t="inlineStr">
        <is>
          <t>BRIDA SLIP ON 2" ANSI150 INOX.304</t>
        </is>
      </c>
      <c r="F554" s="67" t="inlineStr">
        <is>
          <t>UN</t>
        </is>
      </c>
      <c r="G554" s="84" t="n">
        <v>1</v>
      </c>
      <c r="H554" s="57" t="inlineStr"/>
      <c r="I554" s="139" t="n">
        <v>61.84</v>
      </c>
      <c r="J554" s="140" t="n">
        <v>61.84</v>
      </c>
      <c r="K554" s="86" t="inlineStr">
        <is>
          <t>PEN</t>
        </is>
      </c>
    </row>
    <row r="555">
      <c r="A555" s="84" t="n">
        <v>31008991</v>
      </c>
      <c r="B555" s="67" t="inlineStr">
        <is>
          <t>TPSU</t>
        </is>
      </c>
      <c r="C555" s="90" t="inlineStr">
        <is>
          <t>L001</t>
        </is>
      </c>
      <c r="D555" s="84" t="n">
        <v>1080203</v>
      </c>
      <c r="E555" s="80" t="inlineStr">
        <is>
          <t>BRIDA SLIP ON AC.CARB. 3/4" ANSI150</t>
        </is>
      </c>
      <c r="F555" s="67" t="inlineStr">
        <is>
          <t>UN</t>
        </is>
      </c>
      <c r="G555" s="84" t="n">
        <v>4</v>
      </c>
      <c r="H555" s="57" t="inlineStr"/>
      <c r="I555" s="139" t="n">
        <v>17.68</v>
      </c>
      <c r="J555" s="140" t="n">
        <v>4.42</v>
      </c>
      <c r="K555" s="86" t="inlineStr">
        <is>
          <t>PEN</t>
        </is>
      </c>
    </row>
    <row r="556">
      <c r="A556" s="84" t="n">
        <v>31008988</v>
      </c>
      <c r="B556" s="67" t="inlineStr">
        <is>
          <t>TPSU</t>
        </is>
      </c>
      <c r="C556" s="90" t="inlineStr">
        <is>
          <t>L001</t>
        </is>
      </c>
      <c r="D556" s="84" t="n">
        <v>1080204</v>
      </c>
      <c r="E556" s="80" t="inlineStr">
        <is>
          <t>BRIDA SLIP ON AC.CARB. 2.1/2" ANSI150</t>
        </is>
      </c>
      <c r="F556" s="67" t="inlineStr">
        <is>
          <t>UN</t>
        </is>
      </c>
      <c r="G556" s="84" t="n">
        <v>7</v>
      </c>
      <c r="H556" s="57" t="inlineStr"/>
      <c r="I556" s="139" t="n">
        <v>145.95</v>
      </c>
      <c r="J556" s="140" t="n">
        <v>20.85</v>
      </c>
      <c r="K556" s="86" t="inlineStr">
        <is>
          <t>PEN</t>
        </is>
      </c>
    </row>
    <row r="557">
      <c r="A557" s="84" t="n">
        <v>31008987</v>
      </c>
      <c r="B557" s="67" t="inlineStr">
        <is>
          <t>TPSU</t>
        </is>
      </c>
      <c r="C557" s="90" t="inlineStr">
        <is>
          <t>L001</t>
        </is>
      </c>
      <c r="D557" s="84" t="n">
        <v>1080204</v>
      </c>
      <c r="E557" s="80" t="inlineStr">
        <is>
          <t>BRIDA SLIP ON AC.CARB. 2" ANSI150</t>
        </is>
      </c>
      <c r="F557" s="67" t="inlineStr">
        <is>
          <t>UN</t>
        </is>
      </c>
      <c r="G557" s="84" t="n">
        <v>5</v>
      </c>
      <c r="H557" s="57" t="inlineStr"/>
      <c r="I557" s="139" t="n">
        <v>77.47</v>
      </c>
      <c r="J557" s="140" t="n">
        <v>15.494</v>
      </c>
      <c r="K557" s="86" t="inlineStr">
        <is>
          <t>PEN</t>
        </is>
      </c>
    </row>
    <row r="558">
      <c r="A558" s="84" t="n">
        <v>31008987</v>
      </c>
      <c r="B558" s="67" t="inlineStr">
        <is>
          <t>TPSU</t>
        </is>
      </c>
      <c r="C558" s="90" t="inlineStr">
        <is>
          <t>L004</t>
        </is>
      </c>
      <c r="D558" s="84" t="n">
        <v>1080204</v>
      </c>
      <c r="E558" s="80" t="inlineStr">
        <is>
          <t>BRIDA SLIP ON AC.CARB. 2" ANSI150</t>
        </is>
      </c>
      <c r="F558" s="67" t="inlineStr">
        <is>
          <t>UN</t>
        </is>
      </c>
      <c r="G558" s="84" t="n">
        <v>3</v>
      </c>
      <c r="H558" s="57" t="inlineStr"/>
      <c r="I558" s="139" t="n">
        <v>46.48</v>
      </c>
      <c r="J558" s="140" t="n">
        <v>15.49333333333333</v>
      </c>
      <c r="K558" s="86" t="inlineStr">
        <is>
          <t>PEN</t>
        </is>
      </c>
    </row>
    <row r="559">
      <c r="A559" s="84" t="inlineStr">
        <is>
          <t>33029866CI</t>
        </is>
      </c>
      <c r="B559" s="84" t="inlineStr">
        <is>
          <t>TPSU</t>
        </is>
      </c>
      <c r="C559" s="91" t="inlineStr">
        <is>
          <t>L001</t>
        </is>
      </c>
      <c r="D559" s="84" t="n">
        <v>1080205</v>
      </c>
      <c r="E559" s="80" t="inlineStr">
        <is>
          <t>ALTERNADOR 24 VDC 175 AMP</t>
        </is>
      </c>
      <c r="F559" s="67" t="inlineStr">
        <is>
          <t>UN</t>
        </is>
      </c>
      <c r="G559" s="84" t="n">
        <v>1</v>
      </c>
      <c r="H559" s="84" t="inlineStr">
        <is>
          <t>0001</t>
        </is>
      </c>
      <c r="I559" s="139" t="n">
        <v>0</v>
      </c>
      <c r="J559" s="140" t="n">
        <v>0</v>
      </c>
      <c r="K559" s="86" t="inlineStr">
        <is>
          <t>PEN</t>
        </is>
      </c>
    </row>
    <row r="560">
      <c r="A560" s="84" t="n">
        <v>31008966</v>
      </c>
      <c r="B560" s="67" t="inlineStr">
        <is>
          <t>TPSU</t>
        </is>
      </c>
      <c r="C560" s="90" t="inlineStr">
        <is>
          <t>L001</t>
        </is>
      </c>
      <c r="D560" s="84" t="n">
        <v>1080205</v>
      </c>
      <c r="E560" s="80" t="inlineStr">
        <is>
          <t>BRIDA SLIP ON  AC.CARB. 6" ANSI150</t>
        </is>
      </c>
      <c r="F560" s="67" t="inlineStr">
        <is>
          <t>UN</t>
        </is>
      </c>
      <c r="G560" s="84" t="n">
        <v>2</v>
      </c>
      <c r="H560" s="57" t="inlineStr"/>
      <c r="I560" s="139" t="n">
        <v>118.92</v>
      </c>
      <c r="J560" s="140" t="n">
        <v>59.46</v>
      </c>
      <c r="K560" s="86" t="inlineStr">
        <is>
          <t>PEN</t>
        </is>
      </c>
    </row>
    <row r="561">
      <c r="A561" s="84" t="n">
        <v>31008990</v>
      </c>
      <c r="B561" s="67" t="inlineStr">
        <is>
          <t>TPSU</t>
        </is>
      </c>
      <c r="C561" s="90" t="inlineStr">
        <is>
          <t>L001</t>
        </is>
      </c>
      <c r="D561" s="84" t="n">
        <v>1080205</v>
      </c>
      <c r="E561" s="80" t="inlineStr">
        <is>
          <t>BRIDA SLIP ON AC.CARB. 3" ANSI150</t>
        </is>
      </c>
      <c r="F561" s="67" t="inlineStr">
        <is>
          <t>UN</t>
        </is>
      </c>
      <c r="G561" s="84" t="n">
        <v>7</v>
      </c>
      <c r="H561" s="57" t="inlineStr"/>
      <c r="I561" s="139" t="n">
        <v>159.6</v>
      </c>
      <c r="J561" s="140" t="n">
        <v>22.8</v>
      </c>
      <c r="K561" s="86" t="inlineStr">
        <is>
          <t>PEN</t>
        </is>
      </c>
    </row>
    <row r="562">
      <c r="A562" s="84" t="n">
        <v>32003846</v>
      </c>
      <c r="B562" s="67" t="inlineStr">
        <is>
          <t>TPSU</t>
        </is>
      </c>
      <c r="C562" s="90" t="inlineStr">
        <is>
          <t>L001</t>
        </is>
      </c>
      <c r="D562" s="84" t="n">
        <v>1080301</v>
      </c>
      <c r="E562" s="80" t="inlineStr">
        <is>
          <t>CARETA P/SOLDAR AUTO-OSCURECIBLEA</t>
        </is>
      </c>
      <c r="F562" s="67" t="inlineStr">
        <is>
          <t>UN</t>
        </is>
      </c>
      <c r="G562" s="84" t="n">
        <v>3</v>
      </c>
      <c r="H562" s="57" t="inlineStr"/>
      <c r="I562" s="139" t="n">
        <v>1162.16</v>
      </c>
      <c r="J562" s="140" t="n">
        <v>387.3866666666667</v>
      </c>
      <c r="K562" s="86" t="inlineStr">
        <is>
          <t>PEN</t>
        </is>
      </c>
    </row>
    <row r="563">
      <c r="A563" s="84" t="n">
        <v>30000470</v>
      </c>
      <c r="B563" s="67" t="inlineStr">
        <is>
          <t>TPSU</t>
        </is>
      </c>
      <c r="C563" s="90" t="inlineStr">
        <is>
          <t>L001</t>
        </is>
      </c>
      <c r="D563" s="84" t="n">
        <v>1080302</v>
      </c>
      <c r="E563" s="80" t="inlineStr">
        <is>
          <t>GRASA LGHP 2 SKF</t>
        </is>
      </c>
      <c r="F563" s="67" t="inlineStr">
        <is>
          <t>KG</t>
        </is>
      </c>
      <c r="G563" s="84" t="n">
        <v>4</v>
      </c>
      <c r="H563" s="57" t="inlineStr">
        <is>
          <t>4AG037</t>
        </is>
      </c>
      <c r="I563" s="139" t="n">
        <v>665.33</v>
      </c>
      <c r="J563" s="140" t="n">
        <v>166.3325</v>
      </c>
      <c r="K563" s="86" t="inlineStr">
        <is>
          <t>PEN</t>
        </is>
      </c>
    </row>
    <row r="564">
      <c r="A564" s="84" t="n">
        <v>30000490</v>
      </c>
      <c r="B564" s="67" t="inlineStr">
        <is>
          <t>TPSU</t>
        </is>
      </c>
      <c r="C564" s="90" t="inlineStr">
        <is>
          <t>L001</t>
        </is>
      </c>
      <c r="D564" s="84" t="n">
        <v>1080302</v>
      </c>
      <c r="E564" s="80" t="inlineStr">
        <is>
          <t>GRASA SINTETICA PREMALUBE FG X 397 GR</t>
        </is>
      </c>
      <c r="F564" s="67" t="inlineStr">
        <is>
          <t>UN</t>
        </is>
      </c>
      <c r="G564" s="84" t="n">
        <v>6</v>
      </c>
      <c r="H564" s="57" t="inlineStr">
        <is>
          <t>12034612</t>
        </is>
      </c>
      <c r="I564" s="139" t="n">
        <v>278.53</v>
      </c>
      <c r="J564" s="140" t="n">
        <v>46.42166666666666</v>
      </c>
      <c r="K564" s="86" t="inlineStr">
        <is>
          <t>PEN</t>
        </is>
      </c>
    </row>
    <row r="565">
      <c r="A565" s="84" t="n">
        <v>33039691</v>
      </c>
      <c r="B565" s="67" t="inlineStr">
        <is>
          <t>TPSU</t>
        </is>
      </c>
      <c r="C565" s="90" t="inlineStr">
        <is>
          <t>L001</t>
        </is>
      </c>
      <c r="D565" s="84" t="n">
        <v>1080303</v>
      </c>
      <c r="E565" s="80" t="inlineStr">
        <is>
          <t>VALV. BOLA 3/8" NPT 150PSI BCE.CROMADO</t>
        </is>
      </c>
      <c r="F565" s="67" t="inlineStr">
        <is>
          <t>UN</t>
        </is>
      </c>
      <c r="G565" s="84" t="n">
        <v>1</v>
      </c>
      <c r="H565" s="57" t="inlineStr"/>
      <c r="I565" s="139" t="n">
        <v>32.86</v>
      </c>
      <c r="J565" s="140" t="n">
        <v>32.86</v>
      </c>
      <c r="K565" s="86" t="inlineStr">
        <is>
          <t>PEN</t>
        </is>
      </c>
    </row>
    <row r="566">
      <c r="A566" s="84" t="n">
        <v>31014994</v>
      </c>
      <c r="B566" s="67" t="inlineStr">
        <is>
          <t>TPSU</t>
        </is>
      </c>
      <c r="C566" s="90" t="inlineStr">
        <is>
          <t>L001</t>
        </is>
      </c>
      <c r="D566" s="84" t="n">
        <v>1080304</v>
      </c>
      <c r="E566" s="80" t="inlineStr">
        <is>
          <t>VALV. CHECK T/DISCO 2"NPT 150PSI INOX.</t>
        </is>
      </c>
      <c r="F566" s="67" t="inlineStr">
        <is>
          <t>UN</t>
        </is>
      </c>
      <c r="G566" s="84" t="n">
        <v>1</v>
      </c>
      <c r="H566" s="57" t="inlineStr"/>
      <c r="I566" s="139" t="n">
        <v>157.34</v>
      </c>
      <c r="J566" s="140" t="n">
        <v>157.34</v>
      </c>
      <c r="K566" s="86" t="inlineStr">
        <is>
          <t>PEN</t>
        </is>
      </c>
    </row>
    <row r="567">
      <c r="A567" s="84" t="n">
        <v>33039756</v>
      </c>
      <c r="B567" s="67" t="inlineStr">
        <is>
          <t>TPSU</t>
        </is>
      </c>
      <c r="C567" s="90" t="inlineStr">
        <is>
          <t>L001</t>
        </is>
      </c>
      <c r="D567" s="84" t="n">
        <v>1080304</v>
      </c>
      <c r="E567" s="80" t="inlineStr">
        <is>
          <t>VALV. COMP. 1.1/2'' NPT 125 PSI BCE</t>
        </is>
      </c>
      <c r="F567" s="67" t="inlineStr">
        <is>
          <t>UN</t>
        </is>
      </c>
      <c r="G567" s="84" t="n">
        <v>1</v>
      </c>
      <c r="H567" s="57" t="inlineStr"/>
      <c r="I567" s="139" t="n">
        <v>164.07</v>
      </c>
      <c r="J567" s="140" t="n">
        <v>164.07</v>
      </c>
      <c r="K567" s="86" t="inlineStr">
        <is>
          <t>PEN</t>
        </is>
      </c>
    </row>
    <row r="568">
      <c r="A568" s="84" t="n">
        <v>31009189</v>
      </c>
      <c r="B568" s="67" t="inlineStr">
        <is>
          <t>TPSU</t>
        </is>
      </c>
      <c r="C568" s="90" t="inlineStr">
        <is>
          <t>L001</t>
        </is>
      </c>
      <c r="D568" s="84" t="n">
        <v>1080305</v>
      </c>
      <c r="E568" s="80" t="inlineStr">
        <is>
          <t>CADENA AC. G8 1/2"</t>
        </is>
      </c>
      <c r="F568" s="67" t="inlineStr">
        <is>
          <t>M</t>
        </is>
      </c>
      <c r="G568" s="84" t="n">
        <v>10</v>
      </c>
      <c r="H568" s="57" t="inlineStr"/>
      <c r="I568" s="139" t="n">
        <v>446.86</v>
      </c>
      <c r="J568" s="140" t="n">
        <v>44.686</v>
      </c>
      <c r="K568" s="86" t="inlineStr">
        <is>
          <t>PEN</t>
        </is>
      </c>
    </row>
    <row r="569">
      <c r="A569" s="84" t="n">
        <v>33041923</v>
      </c>
      <c r="B569" s="67" t="inlineStr">
        <is>
          <t>TPSU</t>
        </is>
      </c>
      <c r="C569" s="90" t="inlineStr">
        <is>
          <t>L001</t>
        </is>
      </c>
      <c r="D569" s="84" t="n">
        <v>1080305</v>
      </c>
      <c r="E569" s="80" t="inlineStr">
        <is>
          <t>VALV. CHECK SWING 2" 125PSI C/BR. FE.FDO</t>
        </is>
      </c>
      <c r="F569" s="67" t="inlineStr">
        <is>
          <t>UN</t>
        </is>
      </c>
      <c r="G569" s="84" t="n">
        <v>1</v>
      </c>
      <c r="H569" s="57" t="inlineStr"/>
      <c r="I569" s="139" t="n">
        <v>466.83</v>
      </c>
      <c r="J569" s="140" t="n">
        <v>466.83</v>
      </c>
      <c r="K569" s="86" t="inlineStr">
        <is>
          <t>PEN</t>
        </is>
      </c>
    </row>
    <row r="570">
      <c r="A570" s="57" t="inlineStr">
        <is>
          <t>BSU-700061</t>
        </is>
      </c>
      <c r="B570" s="57" t="inlineStr">
        <is>
          <t>TPSU</t>
        </is>
      </c>
      <c r="C570" s="61" t="inlineStr">
        <is>
          <t>L001</t>
        </is>
      </c>
      <c r="D570" s="84" t="n">
        <v>1080401</v>
      </c>
      <c r="E570" s="80" t="inlineStr">
        <is>
          <t>HERAMIENTAS Y ACCESORIOS</t>
        </is>
      </c>
      <c r="F570" s="67" t="inlineStr">
        <is>
          <t>UN</t>
        </is>
      </c>
      <c r="G570" s="84" t="n">
        <v>1</v>
      </c>
      <c r="H570" s="57" t="inlineStr">
        <is>
          <t>0000041857</t>
        </is>
      </c>
      <c r="I570" s="139" t="n">
        <v>0</v>
      </c>
      <c r="J570" s="59" t="n">
        <v>145.2216666666667</v>
      </c>
      <c r="K570" s="86" t="inlineStr">
        <is>
          <t>PEN</t>
        </is>
      </c>
    </row>
    <row r="571">
      <c r="A571" s="57" t="inlineStr">
        <is>
          <t>BSU-700061</t>
        </is>
      </c>
      <c r="B571" s="57" t="inlineStr">
        <is>
          <t>TPSU</t>
        </is>
      </c>
      <c r="C571" s="61" t="inlineStr">
        <is>
          <t>L001</t>
        </is>
      </c>
      <c r="D571" s="84" t="n">
        <v>1080401</v>
      </c>
      <c r="E571" s="80" t="inlineStr">
        <is>
          <t>HERAMIENTAS Y ACCESORIOS</t>
        </is>
      </c>
      <c r="F571" s="67" t="inlineStr">
        <is>
          <t>UN</t>
        </is>
      </c>
      <c r="G571" s="84" t="n">
        <v>3</v>
      </c>
      <c r="H571" s="57" t="inlineStr">
        <is>
          <t>FL0012441</t>
        </is>
      </c>
      <c r="I571" s="139" t="n">
        <v>0</v>
      </c>
      <c r="J571" s="59" t="n">
        <v>28.38</v>
      </c>
      <c r="K571" s="86" t="inlineStr">
        <is>
          <t>PEN</t>
        </is>
      </c>
    </row>
    <row r="572">
      <c r="A572" s="57" t="inlineStr">
        <is>
          <t>BSU-700061</t>
        </is>
      </c>
      <c r="B572" s="57" t="inlineStr">
        <is>
          <t>TPSU</t>
        </is>
      </c>
      <c r="C572" s="61" t="inlineStr">
        <is>
          <t>L001</t>
        </is>
      </c>
      <c r="D572" s="84" t="n">
        <v>1080401</v>
      </c>
      <c r="E572" s="80" t="inlineStr">
        <is>
          <t>HERAMIENTAS Y ACCESORIOS</t>
        </is>
      </c>
      <c r="F572" s="67" t="inlineStr">
        <is>
          <t>UN</t>
        </is>
      </c>
      <c r="G572" s="84" t="n">
        <v>1</v>
      </c>
      <c r="H572" s="57" t="inlineStr">
        <is>
          <t>PL1102</t>
        </is>
      </c>
      <c r="I572" s="139" t="n">
        <v>0</v>
      </c>
      <c r="J572" s="59" t="n">
        <v>189.25</v>
      </c>
      <c r="K572" s="86" t="inlineStr">
        <is>
          <t>PEN</t>
        </is>
      </c>
    </row>
    <row r="573">
      <c r="A573" s="57" t="inlineStr">
        <is>
          <t>BSU-700061</t>
        </is>
      </c>
      <c r="B573" s="57" t="inlineStr">
        <is>
          <t>TPSU</t>
        </is>
      </c>
      <c r="C573" s="61" t="inlineStr">
        <is>
          <t>L001</t>
        </is>
      </c>
      <c r="D573" s="84" t="n">
        <v>1080401</v>
      </c>
      <c r="E573" s="80" t="inlineStr">
        <is>
          <t>HERAMIENTAS Y ACCESORIOS</t>
        </is>
      </c>
      <c r="F573" s="67" t="inlineStr">
        <is>
          <t>UN</t>
        </is>
      </c>
      <c r="G573" s="84" t="n">
        <v>1</v>
      </c>
      <c r="H573" s="57" t="inlineStr">
        <is>
          <t>PL78322</t>
        </is>
      </c>
      <c r="I573" s="139" t="n">
        <v>0</v>
      </c>
      <c r="J573" s="59" t="n">
        <v>228.975</v>
      </c>
      <c r="K573" s="86" t="inlineStr">
        <is>
          <t>PEN</t>
        </is>
      </c>
    </row>
    <row r="574">
      <c r="A574" s="57" t="inlineStr">
        <is>
          <t>BSU-700061</t>
        </is>
      </c>
      <c r="B574" s="57" t="inlineStr">
        <is>
          <t>TPSU</t>
        </is>
      </c>
      <c r="C574" s="61" t="inlineStr">
        <is>
          <t>L001</t>
        </is>
      </c>
      <c r="D574" s="84" t="n">
        <v>1080401</v>
      </c>
      <c r="E574" s="80" t="inlineStr">
        <is>
          <t>HERAMIENTAS Y ACCESORIOS</t>
        </is>
      </c>
      <c r="F574" s="67" t="inlineStr">
        <is>
          <t>UN</t>
        </is>
      </c>
      <c r="G574" s="84" t="n">
        <v>1</v>
      </c>
      <c r="H574" s="57" t="inlineStr">
        <is>
          <t>TPSU000501</t>
        </is>
      </c>
      <c r="I574" s="139" t="n">
        <v>0</v>
      </c>
      <c r="J574" s="59" t="n">
        <v>77.16125</v>
      </c>
      <c r="K574" s="86" t="inlineStr">
        <is>
          <t>PEN</t>
        </is>
      </c>
    </row>
    <row r="575">
      <c r="A575" s="84" t="n">
        <v>33039677</v>
      </c>
      <c r="B575" s="67" t="inlineStr">
        <is>
          <t>TPSU</t>
        </is>
      </c>
      <c r="C575" s="90" t="inlineStr">
        <is>
          <t>L001</t>
        </is>
      </c>
      <c r="D575" s="84" t="n">
        <v>1080401</v>
      </c>
      <c r="E575" s="80" t="inlineStr">
        <is>
          <t>VALV. BOLA 1/4"NPT 150 PSI BCE.CROMADO</t>
        </is>
      </c>
      <c r="F575" s="67" t="inlineStr">
        <is>
          <t>UN</t>
        </is>
      </c>
      <c r="G575" s="84" t="n">
        <v>18</v>
      </c>
      <c r="H575" s="57" t="inlineStr"/>
      <c r="I575" s="139" t="n">
        <v>558.4400000000001</v>
      </c>
      <c r="J575" s="140" t="n">
        <v>238.497</v>
      </c>
      <c r="K575" s="86" t="inlineStr">
        <is>
          <t>PEN</t>
        </is>
      </c>
    </row>
    <row r="576">
      <c r="A576" s="84" t="n">
        <v>33039687</v>
      </c>
      <c r="B576" s="67" t="inlineStr">
        <is>
          <t>TPSU</t>
        </is>
      </c>
      <c r="C576" s="90" t="inlineStr">
        <is>
          <t>L001</t>
        </is>
      </c>
      <c r="D576" s="84" t="n">
        <v>1080401</v>
      </c>
      <c r="E576" s="80" t="inlineStr">
        <is>
          <t>VALV. BOLA 3/4" NPT 150 PSI BCE.CROMAD</t>
        </is>
      </c>
      <c r="F576" s="67" t="inlineStr">
        <is>
          <t>UN</t>
        </is>
      </c>
      <c r="G576" s="84" t="n">
        <v>4</v>
      </c>
      <c r="H576" s="57" t="inlineStr"/>
      <c r="I576" s="139" t="n">
        <v>186.66</v>
      </c>
      <c r="J576" s="140" t="n">
        <v>1379.09</v>
      </c>
      <c r="K576" s="86" t="inlineStr">
        <is>
          <t>PEN</t>
        </is>
      </c>
    </row>
    <row r="577">
      <c r="A577" s="84" t="n">
        <v>33039809</v>
      </c>
      <c r="B577" s="67" t="inlineStr">
        <is>
          <t>TPSU</t>
        </is>
      </c>
      <c r="C577" s="90" t="inlineStr">
        <is>
          <t>L001</t>
        </is>
      </c>
      <c r="D577" s="84" t="n">
        <v>1080401</v>
      </c>
      <c r="E577" s="80" t="inlineStr">
        <is>
          <t>VALV. ESF. 1/2'' 150 PSI ROSC. INOX.</t>
        </is>
      </c>
      <c r="F577" s="67" t="inlineStr">
        <is>
          <t>UN</t>
        </is>
      </c>
      <c r="G577" s="84" t="n">
        <v>5</v>
      </c>
      <c r="H577" s="57" t="inlineStr"/>
      <c r="I577" s="139" t="n">
        <v>102.6</v>
      </c>
      <c r="J577" s="140" t="n">
        <v>1434.15</v>
      </c>
      <c r="K577" s="86" t="inlineStr">
        <is>
          <t>PEN</t>
        </is>
      </c>
    </row>
    <row r="578">
      <c r="A578" s="84" t="n">
        <v>33039811</v>
      </c>
      <c r="B578" s="67" t="inlineStr">
        <is>
          <t>TPSU</t>
        </is>
      </c>
      <c r="C578" s="90" t="inlineStr">
        <is>
          <t>L001</t>
        </is>
      </c>
      <c r="D578" s="84" t="n">
        <v>1080401</v>
      </c>
      <c r="E578" s="80" t="inlineStr">
        <is>
          <t>VALV. ESF. 1/2'' 150 PSI ROSC.BCE.CRO</t>
        </is>
      </c>
      <c r="F578" s="67" t="inlineStr">
        <is>
          <t>UN</t>
        </is>
      </c>
      <c r="G578" s="84" t="n">
        <v>2</v>
      </c>
      <c r="H578" s="57" t="inlineStr"/>
      <c r="I578" s="139" t="n">
        <v>72.54000000000001</v>
      </c>
      <c r="J578" s="140" t="n">
        <v>527</v>
      </c>
      <c r="K578" s="86" t="inlineStr">
        <is>
          <t>PEN</t>
        </is>
      </c>
    </row>
    <row r="579">
      <c r="A579" s="84" t="n">
        <v>33039670</v>
      </c>
      <c r="B579" s="67" t="inlineStr">
        <is>
          <t>TPSU</t>
        </is>
      </c>
      <c r="C579" s="90" t="inlineStr">
        <is>
          <t>L001</t>
        </is>
      </c>
      <c r="D579" s="84" t="n">
        <v>1080402</v>
      </c>
      <c r="E579" s="80" t="inlineStr">
        <is>
          <t>VALV. BOLA 1.1/2"NPT 150 PSI INOX</t>
        </is>
      </c>
      <c r="F579" s="67" t="inlineStr">
        <is>
          <t>UN</t>
        </is>
      </c>
      <c r="G579" s="84" t="n">
        <v>4</v>
      </c>
      <c r="H579" s="57" t="inlineStr"/>
      <c r="I579" s="139" t="n">
        <v>210.92</v>
      </c>
      <c r="J579" s="140" t="n">
        <v>68.89</v>
      </c>
      <c r="K579" s="86" t="inlineStr">
        <is>
          <t>PEN</t>
        </is>
      </c>
    </row>
    <row r="580">
      <c r="A580" s="84" t="n">
        <v>31014953</v>
      </c>
      <c r="B580" s="67" t="inlineStr">
        <is>
          <t>TPSU</t>
        </is>
      </c>
      <c r="C580" s="90" t="inlineStr">
        <is>
          <t>L001</t>
        </is>
      </c>
      <c r="D580" s="84" t="n">
        <v>1080402</v>
      </c>
      <c r="E580" s="80" t="inlineStr">
        <is>
          <t>VALV. BOLA 1.1/2"NPT 150PSI BCE.CROMAD</t>
        </is>
      </c>
      <c r="F580" s="67" t="inlineStr">
        <is>
          <t>UN</t>
        </is>
      </c>
      <c r="G580" s="84" t="n">
        <v>6</v>
      </c>
      <c r="H580" s="57" t="inlineStr"/>
      <c r="I580" s="139" t="n">
        <v>871.33</v>
      </c>
      <c r="J580" s="140" t="n">
        <v>62.01</v>
      </c>
      <c r="K580" s="86" t="inlineStr">
        <is>
          <t>PEN</t>
        </is>
      </c>
    </row>
    <row r="581">
      <c r="A581" s="84" t="n">
        <v>33039665</v>
      </c>
      <c r="B581" s="67" t="inlineStr">
        <is>
          <t>TPSU</t>
        </is>
      </c>
      <c r="C581" s="90" t="inlineStr">
        <is>
          <t>L001</t>
        </is>
      </c>
      <c r="D581" s="84" t="n">
        <v>1080402</v>
      </c>
      <c r="E581" s="80" t="inlineStr">
        <is>
          <t>VALV. BOLA 1" NPT 150 PSI INOX.</t>
        </is>
      </c>
      <c r="F581" s="67" t="inlineStr">
        <is>
          <t>UN</t>
        </is>
      </c>
      <c r="G581" s="84" t="n">
        <v>7</v>
      </c>
      <c r="H581" s="57" t="inlineStr"/>
      <c r="I581" s="139" t="n">
        <v>198.66</v>
      </c>
      <c r="J581" s="140" t="n">
        <v>1372</v>
      </c>
      <c r="K581" s="86" t="inlineStr">
        <is>
          <t>PEN</t>
        </is>
      </c>
    </row>
    <row r="582">
      <c r="A582" s="84" t="n">
        <v>33039683</v>
      </c>
      <c r="B582" s="67" t="inlineStr">
        <is>
          <t>TPSU</t>
        </is>
      </c>
      <c r="C582" s="90" t="inlineStr">
        <is>
          <t>L001</t>
        </is>
      </c>
      <c r="D582" s="84" t="n">
        <v>1080403</v>
      </c>
      <c r="E582" s="80" t="inlineStr">
        <is>
          <t>VALV. BOLA 2.1/2"NPT 150PSI INOX.</t>
        </is>
      </c>
      <c r="F582" s="67" t="inlineStr">
        <is>
          <t>UN</t>
        </is>
      </c>
      <c r="G582" s="84" t="n">
        <v>1</v>
      </c>
      <c r="H582" s="57" t="inlineStr"/>
      <c r="I582" s="139" t="n">
        <v>189.25</v>
      </c>
      <c r="J582" s="140" t="n">
        <v>0.03840579710144927</v>
      </c>
      <c r="K582" s="86" t="inlineStr">
        <is>
          <t>PEN</t>
        </is>
      </c>
    </row>
    <row r="583">
      <c r="A583" s="84" t="n">
        <v>31014957</v>
      </c>
      <c r="B583" s="67" t="inlineStr">
        <is>
          <t>TPSU</t>
        </is>
      </c>
      <c r="C583" s="90" t="inlineStr">
        <is>
          <t>L001</t>
        </is>
      </c>
      <c r="D583" s="84" t="n">
        <v>1080403</v>
      </c>
      <c r="E583" s="80" t="inlineStr">
        <is>
          <t>VALV. BOLA 2" NPT 150 PSI BCE.CROMADO</t>
        </is>
      </c>
      <c r="F583" s="67" t="inlineStr">
        <is>
          <t>UN</t>
        </is>
      </c>
      <c r="G583" s="84" t="n">
        <v>10</v>
      </c>
      <c r="H583" s="57" t="inlineStr"/>
      <c r="I583" s="139" t="n">
        <v>2289.75</v>
      </c>
      <c r="J583" s="140" t="n">
        <v>0.16</v>
      </c>
      <c r="K583" s="86" t="inlineStr">
        <is>
          <t>PEN</t>
        </is>
      </c>
    </row>
    <row r="584">
      <c r="A584" s="84" t="n">
        <v>31014958</v>
      </c>
      <c r="B584" s="67" t="inlineStr">
        <is>
          <t>TPSU</t>
        </is>
      </c>
      <c r="C584" s="90" t="inlineStr">
        <is>
          <t>L001</t>
        </is>
      </c>
      <c r="D584" s="84" t="n">
        <v>1080403</v>
      </c>
      <c r="E584" s="80" t="inlineStr">
        <is>
          <t>VALV. BOLA 2" NPT 150PSI INOX.</t>
        </is>
      </c>
      <c r="F584" s="67" t="inlineStr">
        <is>
          <t>UN</t>
        </is>
      </c>
      <c r="G584" s="84" t="n">
        <v>8</v>
      </c>
      <c r="H584" s="57" t="inlineStr"/>
      <c r="I584" s="139" t="n">
        <v>617.29</v>
      </c>
      <c r="J584" s="140" t="n">
        <v>0.4</v>
      </c>
      <c r="K584" s="86" t="inlineStr">
        <is>
          <t>PEN</t>
        </is>
      </c>
    </row>
    <row r="585">
      <c r="A585" s="84" t="n">
        <v>33039686</v>
      </c>
      <c r="B585" s="67" t="inlineStr">
        <is>
          <t>TPSU</t>
        </is>
      </c>
      <c r="C585" s="90" t="inlineStr">
        <is>
          <t>L001</t>
        </is>
      </c>
      <c r="D585" s="84" t="n">
        <v>1080404</v>
      </c>
      <c r="E585" s="80" t="inlineStr">
        <is>
          <t>VALV. BOLA 3" NPT 150 PSI INOX.</t>
        </is>
      </c>
      <c r="F585" s="67" t="inlineStr">
        <is>
          <t>UN</t>
        </is>
      </c>
      <c r="G585" s="84" t="n">
        <v>10</v>
      </c>
      <c r="H585" s="57" t="inlineStr"/>
      <c r="I585" s="139" t="n">
        <v>2384.97</v>
      </c>
      <c r="J585" s="140" t="n">
        <v>0.19</v>
      </c>
      <c r="K585" s="86" t="inlineStr">
        <is>
          <t>PEN</t>
        </is>
      </c>
    </row>
    <row r="586">
      <c r="A586" s="84" t="n">
        <v>31010609</v>
      </c>
      <c r="B586" s="67" t="inlineStr">
        <is>
          <t>TPSU</t>
        </is>
      </c>
      <c r="C586" s="90" t="inlineStr">
        <is>
          <t>L001</t>
        </is>
      </c>
      <c r="D586" s="84" t="n">
        <v>1080405</v>
      </c>
      <c r="E586" s="80" t="inlineStr">
        <is>
          <t>FILTRO Y 3'' NPT FE.FDO. MALLA INOX.</t>
        </is>
      </c>
      <c r="F586" s="67" t="inlineStr">
        <is>
          <t>UN</t>
        </is>
      </c>
      <c r="G586" s="84" t="n">
        <v>1</v>
      </c>
      <c r="H586" s="57" t="inlineStr"/>
      <c r="I586" s="139" t="n">
        <v>1379.09</v>
      </c>
      <c r="J586" s="140" t="n">
        <v>0.04571428571428571</v>
      </c>
      <c r="K586" s="86" t="inlineStr">
        <is>
          <t>PEN</t>
        </is>
      </c>
    </row>
    <row r="587">
      <c r="A587" s="57" t="inlineStr">
        <is>
          <t>BSU-700065</t>
        </is>
      </c>
      <c r="B587" s="57" t="inlineStr">
        <is>
          <t>TPSU</t>
        </is>
      </c>
      <c r="C587" s="61" t="inlineStr">
        <is>
          <t>L001</t>
        </is>
      </c>
      <c r="D587" s="84" t="n">
        <v>1080504</v>
      </c>
      <c r="E587" s="80" t="inlineStr">
        <is>
          <t>EQUIPOS DE SEGURIDAD</t>
        </is>
      </c>
      <c r="F587" s="67" t="inlineStr">
        <is>
          <t>UN</t>
        </is>
      </c>
      <c r="G587" s="84" t="n">
        <v>1</v>
      </c>
      <c r="H587" s="57" t="inlineStr">
        <is>
          <t>FL52395</t>
        </is>
      </c>
      <c r="I587" s="139" t="n">
        <v>0</v>
      </c>
      <c r="J587" s="59" t="n">
        <v>0.06957446808510638</v>
      </c>
      <c r="K587" s="86" t="inlineStr">
        <is>
          <t>PEN</t>
        </is>
      </c>
    </row>
    <row r="588">
      <c r="A588" s="57" t="inlineStr">
        <is>
          <t>BSU-700065</t>
        </is>
      </c>
      <c r="B588" s="57" t="inlineStr">
        <is>
          <t>TPSU</t>
        </is>
      </c>
      <c r="C588" s="61" t="inlineStr">
        <is>
          <t>L001</t>
        </is>
      </c>
      <c r="D588" s="84" t="n">
        <v>1080504</v>
      </c>
      <c r="E588" s="80" t="inlineStr">
        <is>
          <t>EQUIPOS DE SEGURIDAD</t>
        </is>
      </c>
      <c r="F588" s="67" t="inlineStr">
        <is>
          <t>UN</t>
        </is>
      </c>
      <c r="G588" s="84" t="n">
        <v>2</v>
      </c>
      <c r="H588" s="57" t="inlineStr">
        <is>
          <t>FL69821</t>
        </is>
      </c>
      <c r="I588" s="139" t="n">
        <v>0</v>
      </c>
      <c r="J588" s="59" t="n">
        <v>0.07124999999999999</v>
      </c>
      <c r="K588" s="86" t="inlineStr">
        <is>
          <t>PEN</t>
        </is>
      </c>
    </row>
    <row r="589">
      <c r="A589" s="57" t="inlineStr">
        <is>
          <t>BSU-700065</t>
        </is>
      </c>
      <c r="B589" s="57" t="inlineStr">
        <is>
          <t>TPSU</t>
        </is>
      </c>
      <c r="C589" s="61" t="inlineStr">
        <is>
          <t>L001</t>
        </is>
      </c>
      <c r="D589" s="84" t="n">
        <v>1080504</v>
      </c>
      <c r="E589" s="80" t="inlineStr">
        <is>
          <t>EQUIPOS DE SEGURIDAD</t>
        </is>
      </c>
      <c r="F589" s="67" t="inlineStr">
        <is>
          <t>UN</t>
        </is>
      </c>
      <c r="G589" s="84" t="n">
        <v>1</v>
      </c>
      <c r="H589" s="57" t="inlineStr">
        <is>
          <t>PQS6KG.BAJ</t>
        </is>
      </c>
      <c r="I589" s="139" t="n">
        <v>0</v>
      </c>
      <c r="J589" s="59" t="n">
        <v>0.0551123595505618</v>
      </c>
      <c r="K589" s="86" t="inlineStr">
        <is>
          <t>PEN</t>
        </is>
      </c>
    </row>
    <row r="590">
      <c r="A590" s="57" t="inlineStr">
        <is>
          <t>BSU-700065</t>
        </is>
      </c>
      <c r="B590" s="57" t="inlineStr">
        <is>
          <t>TPSU</t>
        </is>
      </c>
      <c r="C590" s="61" t="inlineStr">
        <is>
          <t>L001</t>
        </is>
      </c>
      <c r="D590" s="84" t="n">
        <v>1080504</v>
      </c>
      <c r="E590" s="80" t="inlineStr">
        <is>
          <t>EQUIPOS DE SEGURIDAD</t>
        </is>
      </c>
      <c r="F590" s="67" t="inlineStr">
        <is>
          <t>UN</t>
        </is>
      </c>
      <c r="G590" s="84" t="n">
        <v>1</v>
      </c>
      <c r="H590" s="57" t="inlineStr">
        <is>
          <t>TPNO002605</t>
        </is>
      </c>
      <c r="I590" s="139" t="n">
        <v>0</v>
      </c>
      <c r="J590" s="59" t="n">
        <v>0.1191489361702128</v>
      </c>
      <c r="K590" s="86" t="inlineStr">
        <is>
          <t>PEN</t>
        </is>
      </c>
    </row>
    <row r="591">
      <c r="A591" s="57" t="inlineStr">
        <is>
          <t>BSU-700065</t>
        </is>
      </c>
      <c r="B591" s="57" t="inlineStr">
        <is>
          <t>TPSU</t>
        </is>
      </c>
      <c r="C591" s="61" t="inlineStr">
        <is>
          <t>L001</t>
        </is>
      </c>
      <c r="D591" s="84" t="n">
        <v>1080504</v>
      </c>
      <c r="E591" s="80" t="inlineStr">
        <is>
          <t>EQUIPOS DE SEGURIDAD</t>
        </is>
      </c>
      <c r="F591" s="67" t="inlineStr">
        <is>
          <t>UN</t>
        </is>
      </c>
      <c r="G591" s="84" t="n">
        <v>1</v>
      </c>
      <c r="H591" s="57" t="inlineStr">
        <is>
          <t>TPSU000542</t>
        </is>
      </c>
      <c r="I591" s="139" t="n">
        <v>0</v>
      </c>
      <c r="J591" s="59" t="n">
        <v>0.07127886323268207</v>
      </c>
      <c r="K591" s="86" t="inlineStr">
        <is>
          <t>PEN</t>
        </is>
      </c>
    </row>
    <row r="592">
      <c r="A592" s="57" t="inlineStr">
        <is>
          <t>BSU-700065</t>
        </is>
      </c>
      <c r="B592" s="57" t="inlineStr">
        <is>
          <t>TPSU</t>
        </is>
      </c>
      <c r="C592" s="61" t="inlineStr">
        <is>
          <t>L001</t>
        </is>
      </c>
      <c r="D592" s="84" t="n">
        <v>1080504</v>
      </c>
      <c r="E592" s="80" t="inlineStr">
        <is>
          <t>EQUIPOS DE SEGURIDAD</t>
        </is>
      </c>
      <c r="F592" s="67" t="inlineStr">
        <is>
          <t>UN</t>
        </is>
      </c>
      <c r="G592" s="84" t="n">
        <v>4</v>
      </c>
      <c r="H592" s="57" t="inlineStr">
        <is>
          <t>TPSU000544</t>
        </is>
      </c>
      <c r="I592" s="139" t="n">
        <v>0</v>
      </c>
      <c r="J592" s="59" t="n">
        <v>0.1693478260869565</v>
      </c>
      <c r="K592" s="86" t="inlineStr">
        <is>
          <t>PEN</t>
        </is>
      </c>
    </row>
    <row r="593">
      <c r="A593" s="57" t="inlineStr">
        <is>
          <t>BSU-700065</t>
        </is>
      </c>
      <c r="B593" s="57" t="inlineStr">
        <is>
          <t>TPSU</t>
        </is>
      </c>
      <c r="C593" s="61" t="inlineStr">
        <is>
          <t>L001</t>
        </is>
      </c>
      <c r="D593" s="84" t="n">
        <v>1080504</v>
      </c>
      <c r="E593" s="80" t="inlineStr">
        <is>
          <t>EQUIPOS DE SEGURIDAD</t>
        </is>
      </c>
      <c r="F593" s="67" t="inlineStr">
        <is>
          <t>UN</t>
        </is>
      </c>
      <c r="G593" s="84" t="n">
        <v>2</v>
      </c>
      <c r="H593" s="57" t="inlineStr">
        <is>
          <t>TPSU000605</t>
        </is>
      </c>
      <c r="I593" s="139" t="n">
        <v>0</v>
      </c>
      <c r="J593" s="59" t="n">
        <v>0.15</v>
      </c>
      <c r="K593" s="86" t="inlineStr">
        <is>
          <t>PEN</t>
        </is>
      </c>
    </row>
    <row r="594">
      <c r="A594" s="57" t="inlineStr">
        <is>
          <t>BSU-700065</t>
        </is>
      </c>
      <c r="B594" s="57" t="inlineStr">
        <is>
          <t>TPSU</t>
        </is>
      </c>
      <c r="C594" s="61" t="inlineStr">
        <is>
          <t>L001</t>
        </is>
      </c>
      <c r="D594" s="84" t="n">
        <v>1080504</v>
      </c>
      <c r="E594" s="80" t="inlineStr">
        <is>
          <t>EQUIPOS DE SEGURIDAD</t>
        </is>
      </c>
      <c r="F594" s="67" t="inlineStr">
        <is>
          <t>UN</t>
        </is>
      </c>
      <c r="G594" s="84" t="n">
        <v>2</v>
      </c>
      <c r="H594" s="57" t="inlineStr">
        <is>
          <t>TPSU000641</t>
        </is>
      </c>
      <c r="I594" s="139" t="n">
        <v>0</v>
      </c>
      <c r="J594" s="59" t="n">
        <v>0.26</v>
      </c>
      <c r="K594" s="86" t="inlineStr">
        <is>
          <t>PEN</t>
        </is>
      </c>
    </row>
    <row r="595">
      <c r="A595" s="57" t="inlineStr">
        <is>
          <t>BSU-700065</t>
        </is>
      </c>
      <c r="B595" s="57" t="inlineStr">
        <is>
          <t>TPSU</t>
        </is>
      </c>
      <c r="C595" s="61" t="inlineStr">
        <is>
          <t>L001</t>
        </is>
      </c>
      <c r="D595" s="84" t="n">
        <v>1080504</v>
      </c>
      <c r="E595" s="80" t="inlineStr">
        <is>
          <t>EQUIPOS DE SEGURIDAD</t>
        </is>
      </c>
      <c r="F595" s="67" t="inlineStr">
        <is>
          <t>UN</t>
        </is>
      </c>
      <c r="G595" s="84" t="n">
        <v>1</v>
      </c>
      <c r="H595" s="57" t="inlineStr">
        <is>
          <t>TPSU000746</t>
        </is>
      </c>
      <c r="I595" s="139" t="n">
        <v>0</v>
      </c>
      <c r="J595" s="59" t="n">
        <v>0.419</v>
      </c>
      <c r="K595" s="86" t="inlineStr">
        <is>
          <t>PEN</t>
        </is>
      </c>
    </row>
    <row r="596">
      <c r="A596" s="57" t="inlineStr">
        <is>
          <t>BSU-700065</t>
        </is>
      </c>
      <c r="B596" s="57" t="inlineStr">
        <is>
          <t>TPSU</t>
        </is>
      </c>
      <c r="C596" s="61" t="inlineStr">
        <is>
          <t>L001</t>
        </is>
      </c>
      <c r="D596" s="84" t="n">
        <v>1080504</v>
      </c>
      <c r="E596" s="80" t="inlineStr">
        <is>
          <t>EQUIPOS DE SEGURIDAD</t>
        </is>
      </c>
      <c r="F596" s="67" t="inlineStr">
        <is>
          <t>UN</t>
        </is>
      </c>
      <c r="G596" s="84" t="n">
        <v>2</v>
      </c>
      <c r="H596" s="57" t="inlineStr">
        <is>
          <t>TPSU000747</t>
        </is>
      </c>
      <c r="I596" s="139" t="n">
        <v>0</v>
      </c>
      <c r="J596" s="59" t="n">
        <v>0.24</v>
      </c>
      <c r="K596" s="86" t="inlineStr">
        <is>
          <t>PEN</t>
        </is>
      </c>
    </row>
    <row r="597">
      <c r="A597" s="84" t="n">
        <v>32005374</v>
      </c>
      <c r="B597" s="67" t="inlineStr">
        <is>
          <t>TPSU</t>
        </is>
      </c>
      <c r="C597" s="90" t="inlineStr">
        <is>
          <t>L001</t>
        </is>
      </c>
      <c r="D597" s="84" t="n">
        <v>1080505</v>
      </c>
      <c r="E597" s="80" t="inlineStr">
        <is>
          <t>UPS 700 VA 220V 60HZ</t>
        </is>
      </c>
      <c r="F597" s="67" t="inlineStr">
        <is>
          <t>UN</t>
        </is>
      </c>
      <c r="G597" s="84" t="n">
        <v>1</v>
      </c>
      <c r="H597" s="57" t="inlineStr"/>
      <c r="I597" s="139" t="n">
        <v>1434.15</v>
      </c>
      <c r="J597" s="140" t="n">
        <v>0.1775</v>
      </c>
      <c r="K597" s="86" t="inlineStr">
        <is>
          <t>PEN</t>
        </is>
      </c>
    </row>
    <row r="598">
      <c r="A598" s="57" t="inlineStr">
        <is>
          <t>BSU-700027</t>
        </is>
      </c>
      <c r="B598" s="57" t="inlineStr">
        <is>
          <t>TPSU</t>
        </is>
      </c>
      <c r="C598" s="61" t="inlineStr">
        <is>
          <t>L001</t>
        </is>
      </c>
      <c r="D598" s="84" t="n">
        <v>1080601</v>
      </c>
      <c r="E598" s="80" t="inlineStr">
        <is>
          <t>ECONOMATO</t>
        </is>
      </c>
      <c r="F598" s="67" t="inlineStr">
        <is>
          <t>UN</t>
        </is>
      </c>
      <c r="G598" s="84" t="n">
        <v>1</v>
      </c>
      <c r="H598" s="57" t="inlineStr">
        <is>
          <t>SELLO</t>
        </is>
      </c>
      <c r="I598" s="139" t="n">
        <v>0</v>
      </c>
      <c r="J598" s="59" t="n">
        <v>0.6022857142857142</v>
      </c>
      <c r="K598" s="86" t="inlineStr">
        <is>
          <t>PEN</t>
        </is>
      </c>
    </row>
    <row r="599">
      <c r="A599" s="84" t="n">
        <v>31008357</v>
      </c>
      <c r="B599" s="67" t="inlineStr">
        <is>
          <t>TPSU</t>
        </is>
      </c>
      <c r="C599" s="90" t="inlineStr">
        <is>
          <t>L001</t>
        </is>
      </c>
      <c r="D599" s="84" t="n">
        <v>1080801</v>
      </c>
      <c r="E599" s="80" t="inlineStr">
        <is>
          <t>AMOLADORA ANGULAR 4.1/2"</t>
        </is>
      </c>
      <c r="F599" s="67" t="inlineStr">
        <is>
          <t>UN</t>
        </is>
      </c>
      <c r="G599" s="84" t="n">
        <v>2</v>
      </c>
      <c r="H599" s="57" t="inlineStr"/>
      <c r="I599" s="139" t="n">
        <v>1054</v>
      </c>
      <c r="J599" s="140" t="n">
        <v>1.561515151515152</v>
      </c>
      <c r="K599" s="86" t="inlineStr">
        <is>
          <t>PEN</t>
        </is>
      </c>
    </row>
    <row r="600">
      <c r="A600" s="84" t="n">
        <v>31011302</v>
      </c>
      <c r="B600" s="67" t="inlineStr">
        <is>
          <t>TPSU</t>
        </is>
      </c>
      <c r="C600" s="90" t="inlineStr">
        <is>
          <t>L001</t>
        </is>
      </c>
      <c r="D600" s="84" t="n">
        <v>1080801</v>
      </c>
      <c r="E600" s="80" t="inlineStr">
        <is>
          <t>LLAVE CADENA P/FILTRO</t>
        </is>
      </c>
      <c r="F600" s="67" t="inlineStr">
        <is>
          <t>UN</t>
        </is>
      </c>
      <c r="G600" s="84" t="n">
        <v>1</v>
      </c>
      <c r="H600" s="57" t="inlineStr"/>
      <c r="I600" s="139" t="n">
        <v>68.89</v>
      </c>
      <c r="J600" s="140" t="n">
        <v>0.48</v>
      </c>
      <c r="K600" s="86" t="inlineStr">
        <is>
          <t>PEN</t>
        </is>
      </c>
    </row>
    <row r="601">
      <c r="A601" s="84" t="n">
        <v>32005154</v>
      </c>
      <c r="B601" s="67" t="inlineStr">
        <is>
          <t>TPSU</t>
        </is>
      </c>
      <c r="C601" s="90" t="inlineStr">
        <is>
          <t>L001</t>
        </is>
      </c>
      <c r="D601" s="84" t="n">
        <v>1080801</v>
      </c>
      <c r="E601" s="80" t="inlineStr">
        <is>
          <t>SIRENA T/CIRCULINA C/ALARMA VISUAL 220V</t>
        </is>
      </c>
      <c r="F601" s="67" t="inlineStr">
        <is>
          <t>UN</t>
        </is>
      </c>
      <c r="G601" s="84" t="n">
        <v>1</v>
      </c>
      <c r="H601" s="57" t="inlineStr"/>
      <c r="I601" s="139" t="n">
        <v>62.01</v>
      </c>
      <c r="J601" s="140" t="n">
        <v>0.2440579710144928</v>
      </c>
      <c r="K601" s="86" t="inlineStr">
        <is>
          <t>PEN</t>
        </is>
      </c>
    </row>
    <row r="602">
      <c r="A602" s="84" t="n">
        <v>32005372</v>
      </c>
      <c r="B602" s="67" t="inlineStr">
        <is>
          <t>TPSU</t>
        </is>
      </c>
      <c r="C602" s="90" t="inlineStr">
        <is>
          <t>L001</t>
        </is>
      </c>
      <c r="D602" s="84" t="n">
        <v>1080801</v>
      </c>
      <c r="E602" s="80" t="inlineStr">
        <is>
          <t>UPS 1 KVA 220V 60HZ ON LINE</t>
        </is>
      </c>
      <c r="F602" s="67" t="inlineStr">
        <is>
          <t>UN</t>
        </is>
      </c>
      <c r="G602" s="84" t="n">
        <v>1</v>
      </c>
      <c r="H602" s="57" t="inlineStr"/>
      <c r="I602" s="139" t="n">
        <v>1372</v>
      </c>
      <c r="J602" s="140" t="n">
        <v>1.13875</v>
      </c>
      <c r="K602" s="86" t="inlineStr">
        <is>
          <t>PEN</t>
        </is>
      </c>
    </row>
    <row r="603">
      <c r="A603" s="84" t="n">
        <v>32003865</v>
      </c>
      <c r="B603" s="67" t="inlineStr">
        <is>
          <t>TPSU</t>
        </is>
      </c>
      <c r="C603" s="90" t="inlineStr">
        <is>
          <t>L001</t>
        </is>
      </c>
      <c r="D603" s="84" t="n">
        <v>1080802</v>
      </c>
      <c r="E603" s="80" t="inlineStr">
        <is>
          <t>CARTUCHO SEÑAL CALIBRE 12 ORION</t>
        </is>
      </c>
      <c r="F603" s="67" t="inlineStr">
        <is>
          <t>UN</t>
        </is>
      </c>
      <c r="G603" s="84" t="n">
        <v>2</v>
      </c>
      <c r="H603" s="57" t="inlineStr">
        <is>
          <t>479</t>
        </is>
      </c>
      <c r="I603" s="139" t="n">
        <v>216.94</v>
      </c>
      <c r="J603" s="140" t="n">
        <v>0.23</v>
      </c>
      <c r="K603" s="86" t="inlineStr">
        <is>
          <t>PEN</t>
        </is>
      </c>
    </row>
    <row r="604">
      <c r="A604" s="84" t="n">
        <v>31011288</v>
      </c>
      <c r="B604" s="67" t="inlineStr">
        <is>
          <t>TPSU</t>
        </is>
      </c>
      <c r="C604" s="90" t="inlineStr">
        <is>
          <t>L001</t>
        </is>
      </c>
      <c r="D604" s="84" t="n">
        <v>1080802</v>
      </c>
      <c r="E604" s="80" t="inlineStr">
        <is>
          <t>LLAVE ALLEN 1/4"</t>
        </is>
      </c>
      <c r="F604" s="67" t="inlineStr">
        <is>
          <t>UN</t>
        </is>
      </c>
      <c r="G604" s="84" t="n">
        <v>1</v>
      </c>
      <c r="H604" s="57" t="inlineStr"/>
      <c r="I604" s="139" t="n">
        <v>1.81</v>
      </c>
      <c r="J604" s="140" t="n">
        <v>0.68</v>
      </c>
      <c r="K604" s="86" t="inlineStr">
        <is>
          <t>PEN</t>
        </is>
      </c>
    </row>
    <row r="605">
      <c r="A605" s="84" t="n">
        <v>32004616</v>
      </c>
      <c r="B605" s="67" t="inlineStr">
        <is>
          <t>TPSU</t>
        </is>
      </c>
      <c r="C605" s="90" t="inlineStr">
        <is>
          <t>L001</t>
        </is>
      </c>
      <c r="D605" s="84" t="n">
        <v>1080802</v>
      </c>
      <c r="E605" s="80" t="inlineStr">
        <is>
          <t>MALETIN PORTA DOCUMENTOS 30 X 40 X 7CM</t>
        </is>
      </c>
      <c r="F605" s="67" t="inlineStr">
        <is>
          <t>UN</t>
        </is>
      </c>
      <c r="G605" s="84" t="n">
        <v>1</v>
      </c>
      <c r="H605" s="57" t="inlineStr"/>
      <c r="I605" s="139" t="n">
        <v>48</v>
      </c>
      <c r="J605" s="140" t="n">
        <v>0.78</v>
      </c>
      <c r="K605" s="86" t="inlineStr">
        <is>
          <t>PEN</t>
        </is>
      </c>
    </row>
    <row r="606">
      <c r="A606" s="84" t="n">
        <v>31011627</v>
      </c>
      <c r="B606" s="67" t="inlineStr">
        <is>
          <t>TPSU</t>
        </is>
      </c>
      <c r="C606" s="90" t="inlineStr">
        <is>
          <t>L001</t>
        </is>
      </c>
      <c r="D606" s="84" t="n">
        <v>1080802</v>
      </c>
      <c r="E606" s="80" t="inlineStr">
        <is>
          <t>MARTILLO UÑA 20 ONZ.</t>
        </is>
      </c>
      <c r="F606" s="67" t="inlineStr">
        <is>
          <t>UN</t>
        </is>
      </c>
      <c r="G606" s="84" t="n">
        <v>1</v>
      </c>
      <c r="H606" s="57" t="inlineStr"/>
      <c r="I606" s="139" t="n">
        <v>18.8</v>
      </c>
      <c r="J606" s="140" t="n">
        <v>0.1705263157894737</v>
      </c>
      <c r="K606" s="86" t="inlineStr">
        <is>
          <t>PEN</t>
        </is>
      </c>
    </row>
    <row r="607">
      <c r="A607" s="84" t="n">
        <v>32004566</v>
      </c>
      <c r="B607" s="67" t="inlineStr">
        <is>
          <t>TPSU</t>
        </is>
      </c>
      <c r="C607" s="90" t="inlineStr">
        <is>
          <t>L001</t>
        </is>
      </c>
      <c r="D607" s="84" t="n">
        <v>1080803</v>
      </c>
      <c r="E607" s="80" t="inlineStr">
        <is>
          <t>LICUADORA 3V CROMADA 04655-053-000 OSTER</t>
        </is>
      </c>
      <c r="F607" s="67" t="inlineStr">
        <is>
          <t>UN</t>
        </is>
      </c>
      <c r="G607" s="84" t="n">
        <v>1</v>
      </c>
      <c r="H607" s="57" t="inlineStr"/>
      <c r="I607" s="139" t="n">
        <v>298.48</v>
      </c>
      <c r="J607" s="140" t="n">
        <v>0.05</v>
      </c>
      <c r="K607" s="86" t="inlineStr">
        <is>
          <t>PEN</t>
        </is>
      </c>
    </row>
    <row r="608">
      <c r="A608" s="84" t="n">
        <v>33035672</v>
      </c>
      <c r="B608" s="67" t="inlineStr">
        <is>
          <t>TPSU</t>
        </is>
      </c>
      <c r="C608" s="90" t="inlineStr">
        <is>
          <t>L001</t>
        </is>
      </c>
      <c r="D608" s="84" t="n">
        <v>1080803</v>
      </c>
      <c r="E608" s="80" t="inlineStr">
        <is>
          <t>PCB 10P6617Z PWR1 P/SONAR CSH-5L</t>
        </is>
      </c>
      <c r="F608" s="67" t="inlineStr">
        <is>
          <t>UN</t>
        </is>
      </c>
      <c r="G608" s="84" t="n">
        <v>1</v>
      </c>
      <c r="H608" s="57" t="inlineStr"/>
      <c r="I608" s="139" t="n">
        <v>4492.34</v>
      </c>
      <c r="J608" s="140" t="n">
        <v>0.1291489361702128</v>
      </c>
      <c r="K608" s="86" t="inlineStr">
        <is>
          <t>PEN</t>
        </is>
      </c>
    </row>
    <row r="609">
      <c r="A609" s="84" t="n">
        <v>31008535</v>
      </c>
      <c r="B609" s="67" t="inlineStr">
        <is>
          <t>TPSU</t>
        </is>
      </c>
      <c r="C609" s="90" t="inlineStr">
        <is>
          <t>L001</t>
        </is>
      </c>
      <c r="D609" s="84" t="n">
        <v>1090101</v>
      </c>
      <c r="E609" s="80" t="inlineStr">
        <is>
          <t>ANILLO PRESION FEN. 1/4"</t>
        </is>
      </c>
      <c r="F609" s="67" t="inlineStr">
        <is>
          <t>UN</t>
        </is>
      </c>
      <c r="G609" s="84" t="n">
        <v>52</v>
      </c>
      <c r="H609" s="57" t="inlineStr"/>
      <c r="I609" s="139" t="n">
        <v>12.72</v>
      </c>
      <c r="J609" s="140" t="n">
        <v>0.1</v>
      </c>
      <c r="K609" s="86" t="inlineStr">
        <is>
          <t>PEN</t>
        </is>
      </c>
    </row>
    <row r="610">
      <c r="A610" s="84" t="n">
        <v>31008538</v>
      </c>
      <c r="B610" s="67" t="inlineStr">
        <is>
          <t>TPSU</t>
        </is>
      </c>
      <c r="C610" s="90" t="inlineStr">
        <is>
          <t>L001</t>
        </is>
      </c>
      <c r="D610" s="84" t="n">
        <v>1090101</v>
      </c>
      <c r="E610" s="80" t="inlineStr">
        <is>
          <t>ANILLO PRESION FEN. 5/16"</t>
        </is>
      </c>
      <c r="F610" s="67" t="inlineStr">
        <is>
          <t>UN</t>
        </is>
      </c>
      <c r="G610" s="84" t="n">
        <v>20</v>
      </c>
      <c r="H610" s="57" t="inlineStr"/>
      <c r="I610" s="139" t="n">
        <v>0.31</v>
      </c>
      <c r="J610" s="140" t="n">
        <v>0.02166666666666667</v>
      </c>
      <c r="K610" s="86" t="inlineStr">
        <is>
          <t>PEN</t>
        </is>
      </c>
    </row>
    <row r="611">
      <c r="A611" s="84" t="n">
        <v>31008534</v>
      </c>
      <c r="B611" s="67" t="inlineStr">
        <is>
          <t>TPSU</t>
        </is>
      </c>
      <c r="C611" s="90" t="inlineStr">
        <is>
          <t>L001</t>
        </is>
      </c>
      <c r="D611" s="84" t="n">
        <v>1090102</v>
      </c>
      <c r="E611" s="80" t="inlineStr">
        <is>
          <t>ANILLO PRESION FEN. 1/2"</t>
        </is>
      </c>
      <c r="F611" s="67" t="inlineStr">
        <is>
          <t>UN</t>
        </is>
      </c>
      <c r="G611" s="84" t="n">
        <v>20</v>
      </c>
      <c r="H611" s="57" t="inlineStr"/>
      <c r="I611" s="139" t="n">
        <v>1.65</v>
      </c>
      <c r="J611" s="140" t="n">
        <v>0.2544776119402985</v>
      </c>
      <c r="K611" s="86" t="inlineStr">
        <is>
          <t>PEN</t>
        </is>
      </c>
    </row>
    <row r="612">
      <c r="A612" s="84" t="n">
        <v>31008534</v>
      </c>
      <c r="B612" s="67" t="inlineStr">
        <is>
          <t>TPSU</t>
        </is>
      </c>
      <c r="C612" s="90" t="inlineStr">
        <is>
          <t>L004</t>
        </is>
      </c>
      <c r="D612" s="84" t="n">
        <v>1090102</v>
      </c>
      <c r="E612" s="80" t="inlineStr">
        <is>
          <t>ANILLO PRESION FEN. 1/2"</t>
        </is>
      </c>
      <c r="F612" s="67" t="inlineStr">
        <is>
          <t>UN</t>
        </is>
      </c>
      <c r="G612" s="84" t="n">
        <v>202</v>
      </c>
      <c r="H612" s="57" t="inlineStr"/>
      <c r="I612" s="139" t="n">
        <v>16.71</v>
      </c>
      <c r="J612" s="140" t="n">
        <v>0.04</v>
      </c>
      <c r="K612" s="86" t="inlineStr">
        <is>
          <t>PEN</t>
        </is>
      </c>
    </row>
    <row r="613">
      <c r="A613" s="84" t="n">
        <v>31008545</v>
      </c>
      <c r="B613" s="67" t="inlineStr">
        <is>
          <t>TPSU</t>
        </is>
      </c>
      <c r="C613" s="90" t="inlineStr">
        <is>
          <t>L001</t>
        </is>
      </c>
      <c r="D613" s="84" t="n">
        <v>1090102</v>
      </c>
      <c r="E613" s="80" t="inlineStr">
        <is>
          <t>ANILLO PRESION G5 3/8"</t>
        </is>
      </c>
      <c r="F613" s="67" t="inlineStr">
        <is>
          <t>UN</t>
        </is>
      </c>
      <c r="G613" s="84" t="n">
        <v>138</v>
      </c>
      <c r="H613" s="57" t="inlineStr"/>
      <c r="I613" s="139" t="n">
        <v>5.3</v>
      </c>
      <c r="J613" s="140" t="n">
        <v>0.2045650048875856</v>
      </c>
      <c r="K613" s="86" t="inlineStr">
        <is>
          <t>PEN</t>
        </is>
      </c>
    </row>
    <row r="614">
      <c r="A614" s="84" t="n">
        <v>31008561</v>
      </c>
      <c r="B614" s="67" t="inlineStr">
        <is>
          <t>TPSU</t>
        </is>
      </c>
      <c r="C614" s="90" t="inlineStr">
        <is>
          <t>L001</t>
        </is>
      </c>
      <c r="D614" s="84" t="n">
        <v>1090102</v>
      </c>
      <c r="E614" s="80" t="inlineStr">
        <is>
          <t>ANILLO PRESION INOX. 1/2"</t>
        </is>
      </c>
      <c r="F614" s="67" t="inlineStr">
        <is>
          <t>UN</t>
        </is>
      </c>
      <c r="G614" s="84" t="n">
        <v>32</v>
      </c>
      <c r="H614" s="57" t="inlineStr"/>
      <c r="I614" s="139" t="n">
        <v>6.95</v>
      </c>
      <c r="J614" s="140" t="n">
        <v>0.08</v>
      </c>
      <c r="K614" s="86" t="inlineStr">
        <is>
          <t>PEN</t>
        </is>
      </c>
    </row>
    <row r="615">
      <c r="A615" s="84" t="n">
        <v>31008547</v>
      </c>
      <c r="B615" s="67" t="inlineStr">
        <is>
          <t>TPSU</t>
        </is>
      </c>
      <c r="C615" s="90" t="inlineStr">
        <is>
          <t>L001</t>
        </is>
      </c>
      <c r="D615" s="84" t="n">
        <v>1090103</v>
      </c>
      <c r="E615" s="80" t="inlineStr">
        <is>
          <t>ANILLO PRESION G5 5/8"</t>
        </is>
      </c>
      <c r="F615" s="67" t="inlineStr">
        <is>
          <t>UN</t>
        </is>
      </c>
      <c r="G615" s="84" t="n">
        <v>19</v>
      </c>
      <c r="H615" s="57" t="inlineStr"/>
      <c r="I615" s="139" t="n">
        <v>3.04</v>
      </c>
      <c r="J615" s="140" t="n">
        <v>0.5877142857142857</v>
      </c>
      <c r="K615" s="86" t="inlineStr">
        <is>
          <t>PEN</t>
        </is>
      </c>
    </row>
    <row r="616">
      <c r="A616" s="84" t="n">
        <v>31008567</v>
      </c>
      <c r="B616" s="67" t="inlineStr">
        <is>
          <t>TPSU</t>
        </is>
      </c>
      <c r="C616" s="90" t="inlineStr">
        <is>
          <t>L001</t>
        </is>
      </c>
      <c r="D616" s="84" t="n">
        <v>1090103</v>
      </c>
      <c r="E616" s="80" t="inlineStr">
        <is>
          <t>ANILLO PRESION INOX. 5/8"</t>
        </is>
      </c>
      <c r="F616" s="67" t="inlineStr">
        <is>
          <t>UN</t>
        </is>
      </c>
      <c r="G616" s="84" t="n">
        <v>33</v>
      </c>
      <c r="H616" s="57" t="inlineStr"/>
      <c r="I616" s="139" t="n">
        <v>13.2</v>
      </c>
      <c r="J616" s="140" t="n">
        <v>0.35</v>
      </c>
      <c r="K616" s="86" t="inlineStr">
        <is>
          <t>PEN</t>
        </is>
      </c>
    </row>
    <row r="617">
      <c r="A617" s="84" t="n">
        <v>31008544</v>
      </c>
      <c r="B617" s="82" t="inlineStr">
        <is>
          <t>TPSU</t>
        </is>
      </c>
      <c r="C617" s="82" t="inlineStr">
        <is>
          <t>L001</t>
        </is>
      </c>
      <c r="D617" s="84" t="n">
        <v>1090104</v>
      </c>
      <c r="E617" s="80" t="inlineStr">
        <is>
          <t>ANILLO PRESION G5 3/4"</t>
        </is>
      </c>
      <c r="F617" s="67" t="inlineStr">
        <is>
          <t>UN</t>
        </is>
      </c>
      <c r="G617" s="84" t="n">
        <v>20</v>
      </c>
      <c r="H617" s="57" t="inlineStr"/>
      <c r="I617" s="139" t="n">
        <v>3.8</v>
      </c>
      <c r="J617" s="140" t="n">
        <v>0.38</v>
      </c>
      <c r="K617" s="86" t="inlineStr">
        <is>
          <t>PEN</t>
        </is>
      </c>
    </row>
    <row r="618">
      <c r="A618" s="84" t="n">
        <v>31008488</v>
      </c>
      <c r="B618" s="67" t="inlineStr">
        <is>
          <t>TPSU</t>
        </is>
      </c>
      <c r="C618" s="90" t="inlineStr">
        <is>
          <t>L001</t>
        </is>
      </c>
      <c r="D618" s="84" t="n">
        <v>1090105</v>
      </c>
      <c r="E618" s="80" t="inlineStr">
        <is>
          <t>ANILLO PLANO G5 5/16"</t>
        </is>
      </c>
      <c r="F618" s="67" t="inlineStr">
        <is>
          <t>UN</t>
        </is>
      </c>
      <c r="G618" s="84" t="n">
        <v>35</v>
      </c>
      <c r="H618" s="57" t="inlineStr"/>
      <c r="I618" s="139" t="n">
        <v>1.6</v>
      </c>
      <c r="J618" s="140" t="n">
        <v>0.2143229166666667</v>
      </c>
      <c r="K618" s="86" t="inlineStr">
        <is>
          <t>PEN</t>
        </is>
      </c>
    </row>
    <row r="619">
      <c r="A619" s="84" t="n">
        <v>31008509</v>
      </c>
      <c r="B619" s="67" t="inlineStr">
        <is>
          <t>TPSU</t>
        </is>
      </c>
      <c r="C619" s="90" t="inlineStr">
        <is>
          <t>L001</t>
        </is>
      </c>
      <c r="D619" s="84" t="n">
        <v>1090105</v>
      </c>
      <c r="E619" s="80" t="inlineStr">
        <is>
          <t>ANILLO PLANO INOX. 1/4"</t>
        </is>
      </c>
      <c r="F619" s="67" t="inlineStr">
        <is>
          <t>UN</t>
        </is>
      </c>
      <c r="G619" s="84" t="n">
        <v>94</v>
      </c>
      <c r="H619" s="57" t="inlineStr"/>
      <c r="I619" s="139" t="n">
        <v>6.54</v>
      </c>
      <c r="J619" s="140" t="n">
        <v>1.419473684210526</v>
      </c>
      <c r="K619" s="86" t="inlineStr">
        <is>
          <t>PEN</t>
        </is>
      </c>
    </row>
    <row r="620">
      <c r="A620" s="84" t="n">
        <v>31011811</v>
      </c>
      <c r="B620" s="67" t="inlineStr">
        <is>
          <t>TPSU</t>
        </is>
      </c>
      <c r="C620" s="90" t="inlineStr">
        <is>
          <t>L001</t>
        </is>
      </c>
      <c r="D620" s="84" t="n">
        <v>1090105</v>
      </c>
      <c r="E620" s="80" t="inlineStr">
        <is>
          <t>ANILLO PLANO INOX. 5/16"</t>
        </is>
      </c>
      <c r="F620" s="67" t="inlineStr">
        <is>
          <t>UN</t>
        </is>
      </c>
      <c r="G620" s="84" t="n">
        <v>16</v>
      </c>
      <c r="H620" s="57" t="inlineStr"/>
      <c r="I620" s="139" t="n">
        <v>1.14</v>
      </c>
      <c r="J620" s="140" t="n">
        <v>0.3450344827586207</v>
      </c>
      <c r="K620" s="86" t="inlineStr">
        <is>
          <t>PEN</t>
        </is>
      </c>
    </row>
    <row r="621">
      <c r="A621" s="84" t="n">
        <v>31008487</v>
      </c>
      <c r="B621" s="67" t="inlineStr">
        <is>
          <t>TPSU</t>
        </is>
      </c>
      <c r="C621" s="90" t="inlineStr">
        <is>
          <t>L001</t>
        </is>
      </c>
      <c r="D621" s="84" t="n">
        <v>1090106</v>
      </c>
      <c r="E621" s="80" t="inlineStr">
        <is>
          <t>ANILLO PLANO G5 3/8"</t>
        </is>
      </c>
      <c r="F621" s="67" t="inlineStr">
        <is>
          <t>UN</t>
        </is>
      </c>
      <c r="G621" s="84" t="n">
        <v>890</v>
      </c>
      <c r="H621" s="57" t="inlineStr"/>
      <c r="I621" s="139" t="n">
        <v>49.05</v>
      </c>
      <c r="J621" s="140" t="n">
        <v>0.3270833333333333</v>
      </c>
      <c r="K621" s="86" t="inlineStr">
        <is>
          <t>PEN</t>
        </is>
      </c>
    </row>
    <row r="622">
      <c r="A622" s="84" t="n">
        <v>31008512</v>
      </c>
      <c r="B622" s="67" t="inlineStr">
        <is>
          <t>TPSU</t>
        </is>
      </c>
      <c r="C622" s="90" t="inlineStr">
        <is>
          <t>L001</t>
        </is>
      </c>
      <c r="D622" s="84" t="n">
        <v>1090106</v>
      </c>
      <c r="E622" s="80" t="inlineStr">
        <is>
          <t>ANILLO PLANO INOX. 3/8"</t>
        </is>
      </c>
      <c r="F622" s="67" t="inlineStr">
        <is>
          <t>UN</t>
        </is>
      </c>
      <c r="G622" s="84" t="n">
        <v>47</v>
      </c>
      <c r="H622" s="57" t="inlineStr"/>
      <c r="I622" s="139" t="n">
        <v>5.6</v>
      </c>
      <c r="J622" s="140" t="n">
        <v>0.35</v>
      </c>
      <c r="K622" s="86" t="inlineStr">
        <is>
          <t>PEN</t>
        </is>
      </c>
    </row>
    <row r="623">
      <c r="A623" s="84" t="n">
        <v>31008485</v>
      </c>
      <c r="B623" s="67" t="inlineStr">
        <is>
          <t>TPSU</t>
        </is>
      </c>
      <c r="C623" s="90" t="inlineStr">
        <is>
          <t>L001</t>
        </is>
      </c>
      <c r="D623" s="84" t="n">
        <v>1090107</v>
      </c>
      <c r="E623" s="80" t="inlineStr">
        <is>
          <t>ANILLO PLANO G5 1/2"</t>
        </is>
      </c>
      <c r="F623" s="67" t="inlineStr">
        <is>
          <t>UN</t>
        </is>
      </c>
      <c r="G623" s="84" t="n">
        <v>563</v>
      </c>
      <c r="H623" s="57" t="inlineStr"/>
      <c r="I623" s="139" t="n">
        <v>40.13</v>
      </c>
      <c r="J623" s="140" t="n">
        <v>1.539473684210526</v>
      </c>
      <c r="K623" s="86" t="inlineStr">
        <is>
          <t>PEN</t>
        </is>
      </c>
    </row>
    <row r="624">
      <c r="A624" s="84" t="n">
        <v>31008489</v>
      </c>
      <c r="B624" s="67" t="inlineStr">
        <is>
          <t>TPSU</t>
        </is>
      </c>
      <c r="C624" s="90" t="inlineStr">
        <is>
          <t>L001</t>
        </is>
      </c>
      <c r="D624" s="84" t="n">
        <v>1090107</v>
      </c>
      <c r="E624" s="80" t="inlineStr">
        <is>
          <t>ANILLO PLANO G5 5/8"</t>
        </is>
      </c>
      <c r="F624" s="67" t="inlineStr">
        <is>
          <t>UN</t>
        </is>
      </c>
      <c r="G624" s="84" t="n">
        <v>138</v>
      </c>
      <c r="H624" s="57" t="inlineStr"/>
      <c r="I624" s="139" t="n">
        <v>23.37</v>
      </c>
      <c r="J624" s="140" t="n">
        <v>0.5368518518518518</v>
      </c>
      <c r="K624" s="86" t="inlineStr">
        <is>
          <t>PEN</t>
        </is>
      </c>
    </row>
    <row r="625">
      <c r="A625" s="84" t="n">
        <v>31008489</v>
      </c>
      <c r="B625" s="67" t="inlineStr">
        <is>
          <t>TPSU</t>
        </is>
      </c>
      <c r="C625" s="90" t="inlineStr">
        <is>
          <t>L001</t>
        </is>
      </c>
      <c r="D625" s="84" t="n">
        <v>1090107</v>
      </c>
      <c r="E625" s="80" t="inlineStr">
        <is>
          <t>ANILLO PLANO G5 5/8"</t>
        </is>
      </c>
      <c r="F625" s="67" t="inlineStr">
        <is>
          <t>UN</t>
        </is>
      </c>
      <c r="G625" s="84" t="n">
        <v>4</v>
      </c>
      <c r="H625" s="57" t="inlineStr"/>
      <c r="I625" s="139" t="n">
        <v>0.6</v>
      </c>
      <c r="J625" s="140" t="n">
        <v>0.5525</v>
      </c>
      <c r="K625" s="86" t="inlineStr">
        <is>
          <t>PEN</t>
        </is>
      </c>
    </row>
    <row r="626">
      <c r="A626" s="84" t="n">
        <v>31008508</v>
      </c>
      <c r="B626" s="67" t="inlineStr">
        <is>
          <t>TPSU</t>
        </is>
      </c>
      <c r="C626" s="90" t="inlineStr">
        <is>
          <t>L001</t>
        </is>
      </c>
      <c r="D626" s="84" t="n">
        <v>1090107</v>
      </c>
      <c r="E626" s="80" t="inlineStr">
        <is>
          <t>ANILLO PLANO INOX. 1/2"</t>
        </is>
      </c>
      <c r="F626" s="67" t="inlineStr">
        <is>
          <t>UN</t>
        </is>
      </c>
      <c r="G626" s="84" t="n">
        <v>71</v>
      </c>
      <c r="H626" s="57" t="inlineStr"/>
      <c r="I626" s="139" t="n">
        <v>18.46</v>
      </c>
      <c r="J626" s="140" t="n">
        <v>0.44</v>
      </c>
      <c r="K626" s="86" t="inlineStr">
        <is>
          <t>PEN</t>
        </is>
      </c>
    </row>
    <row r="627">
      <c r="A627" s="84" t="n">
        <v>31008514</v>
      </c>
      <c r="B627" s="67" t="inlineStr">
        <is>
          <t>TPSU</t>
        </is>
      </c>
      <c r="C627" s="90" t="inlineStr">
        <is>
          <t>L001</t>
        </is>
      </c>
      <c r="D627" s="84" t="n">
        <v>1090107</v>
      </c>
      <c r="E627" s="80" t="inlineStr">
        <is>
          <t>ANILLO PLANO INOX. 5/8"</t>
        </is>
      </c>
      <c r="F627" s="67" t="inlineStr">
        <is>
          <t>UN</t>
        </is>
      </c>
      <c r="G627" s="84" t="n">
        <v>40</v>
      </c>
      <c r="H627" s="57" t="inlineStr"/>
      <c r="I627" s="139" t="n">
        <v>16.76</v>
      </c>
      <c r="J627" s="140" t="n">
        <v>3.06</v>
      </c>
      <c r="K627" s="86" t="inlineStr">
        <is>
          <t>PEN</t>
        </is>
      </c>
    </row>
    <row r="628">
      <c r="A628" s="84" t="n">
        <v>31008486</v>
      </c>
      <c r="B628" s="67" t="inlineStr">
        <is>
          <t>TPSU</t>
        </is>
      </c>
      <c r="C628" s="90" t="inlineStr">
        <is>
          <t>L001</t>
        </is>
      </c>
      <c r="D628" s="84" t="n">
        <v>1090108</v>
      </c>
      <c r="E628" s="80" t="inlineStr">
        <is>
          <t>ANILLO PLANO G5 3/4"</t>
        </is>
      </c>
      <c r="F628" s="67" t="inlineStr">
        <is>
          <t>UN</t>
        </is>
      </c>
      <c r="G628" s="84" t="n">
        <v>61</v>
      </c>
      <c r="H628" s="57" t="inlineStr"/>
      <c r="I628" s="139" t="n">
        <v>14.64</v>
      </c>
      <c r="J628" s="140" t="n">
        <v>1.06037037037037</v>
      </c>
      <c r="K628" s="86" t="inlineStr">
        <is>
          <t>PEN</t>
        </is>
      </c>
    </row>
    <row r="629">
      <c r="A629" s="84" t="n">
        <v>31008486</v>
      </c>
      <c r="B629" s="67" t="inlineStr">
        <is>
          <t>TPSU</t>
        </is>
      </c>
      <c r="C629" s="90" t="inlineStr">
        <is>
          <t>L001</t>
        </is>
      </c>
      <c r="D629" s="84" t="n">
        <v>1090108</v>
      </c>
      <c r="E629" s="80" t="inlineStr">
        <is>
          <t>ANILLO PLANO G5 3/4"</t>
        </is>
      </c>
      <c r="F629" s="67" t="inlineStr">
        <is>
          <t>UN</t>
        </is>
      </c>
      <c r="G629" s="84" t="n">
        <v>4</v>
      </c>
      <c r="H629" s="57" t="inlineStr"/>
      <c r="I629" s="139" t="n">
        <v>0.71</v>
      </c>
      <c r="J629" s="140" t="n">
        <v>0.93</v>
      </c>
      <c r="K629" s="86" t="inlineStr">
        <is>
          <t>PEN</t>
        </is>
      </c>
    </row>
    <row r="630">
      <c r="A630" s="84" t="n">
        <v>31008511</v>
      </c>
      <c r="B630" s="67" t="inlineStr">
        <is>
          <t>TPSU</t>
        </is>
      </c>
      <c r="C630" s="90" t="inlineStr">
        <is>
          <t>L001</t>
        </is>
      </c>
      <c r="D630" s="84" t="n">
        <v>1090108</v>
      </c>
      <c r="E630" s="80" t="inlineStr">
        <is>
          <t>ANILLO PLANO INOX. 3/4"</t>
        </is>
      </c>
      <c r="F630" s="67" t="inlineStr">
        <is>
          <t>UN</t>
        </is>
      </c>
      <c r="G630" s="84" t="n">
        <v>35</v>
      </c>
      <c r="H630" s="57" t="inlineStr"/>
      <c r="I630" s="139" t="n">
        <v>21.08</v>
      </c>
      <c r="J630" s="140" t="n">
        <v>4.680000000000001</v>
      </c>
      <c r="K630" s="86" t="inlineStr">
        <is>
          <t>PEN</t>
        </is>
      </c>
    </row>
    <row r="631">
      <c r="A631" s="84" t="n">
        <v>31008472</v>
      </c>
      <c r="B631" s="67" t="inlineStr">
        <is>
          <t>TPSU</t>
        </is>
      </c>
      <c r="C631" s="90" t="inlineStr">
        <is>
          <t>L001</t>
        </is>
      </c>
      <c r="D631" s="84" t="n">
        <v>1090109</v>
      </c>
      <c r="E631" s="80" t="inlineStr">
        <is>
          <t>ANILLO PLANO FEN. 1.1/2"</t>
        </is>
      </c>
      <c r="F631" s="67" t="inlineStr">
        <is>
          <t>UN</t>
        </is>
      </c>
      <c r="G631" s="84" t="n">
        <v>66</v>
      </c>
      <c r="H631" s="57" t="inlineStr"/>
      <c r="I631" s="139" t="n">
        <v>103.06</v>
      </c>
      <c r="J631" s="140" t="n">
        <v>7.5</v>
      </c>
      <c r="K631" s="86" t="inlineStr">
        <is>
          <t>PEN</t>
        </is>
      </c>
    </row>
    <row r="632">
      <c r="A632" s="84" t="n">
        <v>31008471</v>
      </c>
      <c r="B632" s="67" t="inlineStr">
        <is>
          <t>TPSU</t>
        </is>
      </c>
      <c r="C632" s="90" t="inlineStr">
        <is>
          <t>L001</t>
        </is>
      </c>
      <c r="D632" s="84" t="n">
        <v>1090109</v>
      </c>
      <c r="E632" s="80" t="inlineStr">
        <is>
          <t>ANILLO PLANO FEN. 1"</t>
        </is>
      </c>
      <c r="F632" s="67" t="inlineStr">
        <is>
          <t>UN</t>
        </is>
      </c>
      <c r="G632" s="84" t="n">
        <v>62</v>
      </c>
      <c r="H632" s="57" t="inlineStr"/>
      <c r="I632" s="139" t="n">
        <v>29.76</v>
      </c>
      <c r="J632" s="140" t="n">
        <v>1.667391304347826</v>
      </c>
      <c r="K632" s="86" t="inlineStr">
        <is>
          <t>PEN</t>
        </is>
      </c>
    </row>
    <row r="633">
      <c r="A633" s="84" t="n">
        <v>31008491</v>
      </c>
      <c r="B633" s="67" t="inlineStr">
        <is>
          <t>TPSU</t>
        </is>
      </c>
      <c r="C633" s="90" t="inlineStr">
        <is>
          <t>L001</t>
        </is>
      </c>
      <c r="D633" s="84" t="n">
        <v>1090109</v>
      </c>
      <c r="E633" s="80" t="inlineStr">
        <is>
          <t>ANILLO PLANO G5 7/8"</t>
        </is>
      </c>
      <c r="F633" s="67" t="inlineStr">
        <is>
          <t>UN</t>
        </is>
      </c>
      <c r="G633" s="84" t="n">
        <v>69</v>
      </c>
      <c r="H633" s="57" t="inlineStr"/>
      <c r="I633" s="139" t="n">
        <v>16.84</v>
      </c>
      <c r="J633" s="140" t="n">
        <v>0.75</v>
      </c>
      <c r="K633" s="86" t="inlineStr">
        <is>
          <t>PEN</t>
        </is>
      </c>
    </row>
    <row r="634">
      <c r="A634" s="84" t="n">
        <v>31008507</v>
      </c>
      <c r="B634" s="67" t="inlineStr">
        <is>
          <t>TPSU</t>
        </is>
      </c>
      <c r="C634" s="90" t="inlineStr">
        <is>
          <t>L001</t>
        </is>
      </c>
      <c r="D634" s="84" t="n">
        <v>1090109</v>
      </c>
      <c r="E634" s="80" t="inlineStr">
        <is>
          <t>ANILLO PLANO INOX. 1"</t>
        </is>
      </c>
      <c r="F634" s="67" t="inlineStr">
        <is>
          <t>UN</t>
        </is>
      </c>
      <c r="G634" s="84" t="n">
        <v>8</v>
      </c>
      <c r="H634" s="57" t="inlineStr"/>
      <c r="I634" s="139" t="n">
        <v>9.109999999999999</v>
      </c>
      <c r="J634" s="140" t="n">
        <v>1.5</v>
      </c>
      <c r="K634" s="86" t="inlineStr">
        <is>
          <t>PEN</t>
        </is>
      </c>
    </row>
    <row r="635">
      <c r="A635" s="84" t="n">
        <v>31014734</v>
      </c>
      <c r="B635" s="67" t="inlineStr">
        <is>
          <t>TPSU</t>
        </is>
      </c>
      <c r="C635" s="90" t="inlineStr">
        <is>
          <t>L004</t>
        </is>
      </c>
      <c r="D635" s="84" t="n">
        <v>1090201</v>
      </c>
      <c r="E635" s="80" t="inlineStr">
        <is>
          <t>TUERCA HEX. M14 AC.</t>
        </is>
      </c>
      <c r="F635" s="67" t="inlineStr">
        <is>
          <t>UN</t>
        </is>
      </c>
      <c r="G635" s="84" t="n">
        <v>15</v>
      </c>
      <c r="H635" s="57" t="inlineStr"/>
      <c r="I635" s="139" t="n">
        <v>3.45</v>
      </c>
      <c r="J635" s="140" t="n">
        <v>1.29</v>
      </c>
      <c r="K635" s="86" t="inlineStr">
        <is>
          <t>PEN</t>
        </is>
      </c>
    </row>
    <row r="636">
      <c r="A636" s="84" t="n">
        <v>31014735</v>
      </c>
      <c r="B636" s="67" t="inlineStr">
        <is>
          <t>TPSU</t>
        </is>
      </c>
      <c r="C636" s="90" t="inlineStr">
        <is>
          <t>L004</t>
        </is>
      </c>
      <c r="D636" s="84" t="n">
        <v>1090201</v>
      </c>
      <c r="E636" s="80" t="inlineStr">
        <is>
          <t>TUERCA HEX. M14 G8 HF</t>
        </is>
      </c>
      <c r="F636" s="67" t="inlineStr">
        <is>
          <t>UN</t>
        </is>
      </c>
      <c r="G636" s="84" t="n">
        <v>2</v>
      </c>
      <c r="H636" s="57" t="inlineStr"/>
      <c r="I636" s="139" t="n">
        <v>1.36</v>
      </c>
      <c r="J636" s="140" t="n">
        <v>0.12</v>
      </c>
      <c r="K636" s="86" t="inlineStr">
        <is>
          <t>PEN</t>
        </is>
      </c>
    </row>
    <row r="637">
      <c r="A637" s="84" t="n">
        <v>31014764</v>
      </c>
      <c r="B637" s="67" t="inlineStr">
        <is>
          <t>TPSU</t>
        </is>
      </c>
      <c r="C637" s="90" t="inlineStr">
        <is>
          <t>L001</t>
        </is>
      </c>
      <c r="D637" s="84" t="n">
        <v>1090201</v>
      </c>
      <c r="E637" s="80" t="inlineStr">
        <is>
          <t>TUERCA M16 INOX.</t>
        </is>
      </c>
      <c r="F637" s="67" t="inlineStr">
        <is>
          <t>UN</t>
        </is>
      </c>
      <c r="G637" s="84" t="n">
        <v>8</v>
      </c>
      <c r="H637" s="57" t="inlineStr"/>
      <c r="I637" s="139" t="n">
        <v>6.24</v>
      </c>
      <c r="J637" s="140" t="n">
        <v>0.3799999999999999</v>
      </c>
      <c r="K637" s="86" t="inlineStr">
        <is>
          <t>PEN</t>
        </is>
      </c>
    </row>
    <row r="638">
      <c r="A638" s="84" t="n">
        <v>31014749</v>
      </c>
      <c r="B638" s="67" t="inlineStr">
        <is>
          <t>TPSU</t>
        </is>
      </c>
      <c r="C638" s="90" t="inlineStr">
        <is>
          <t>L001</t>
        </is>
      </c>
      <c r="D638" s="84" t="n">
        <v>1090202</v>
      </c>
      <c r="E638" s="80" t="inlineStr">
        <is>
          <t>TUERCA 5/16" INOX.</t>
        </is>
      </c>
      <c r="F638" s="67" t="inlineStr">
        <is>
          <t>UN</t>
        </is>
      </c>
      <c r="G638" s="84" t="n">
        <v>38</v>
      </c>
      <c r="H638" s="57" t="inlineStr"/>
      <c r="I638" s="139" t="n">
        <v>6.48</v>
      </c>
      <c r="J638" s="140" t="n">
        <v>0.3</v>
      </c>
      <c r="K638" s="86" t="inlineStr">
        <is>
          <t>PEN</t>
        </is>
      </c>
    </row>
    <row r="639">
      <c r="A639" s="84" t="n">
        <v>31014688</v>
      </c>
      <c r="B639" s="67" t="inlineStr">
        <is>
          <t>TPSU</t>
        </is>
      </c>
      <c r="C639" s="90" t="inlineStr">
        <is>
          <t>L001</t>
        </is>
      </c>
      <c r="D639" s="84" t="n">
        <v>1090202</v>
      </c>
      <c r="E639" s="80" t="inlineStr">
        <is>
          <t>TUERCA G5 5/16"</t>
        </is>
      </c>
      <c r="F639" s="67" t="inlineStr">
        <is>
          <t>UN</t>
        </is>
      </c>
      <c r="G639" s="84" t="n">
        <v>23</v>
      </c>
      <c r="H639" s="57" t="inlineStr"/>
      <c r="I639" s="139" t="n">
        <v>1.15</v>
      </c>
      <c r="J639" s="140" t="n">
        <v>0.3195</v>
      </c>
      <c r="K639" s="86" t="inlineStr">
        <is>
          <t>PEN</t>
        </is>
      </c>
    </row>
    <row r="640">
      <c r="A640" s="84" t="n">
        <v>31014741</v>
      </c>
      <c r="B640" s="67" t="inlineStr">
        <is>
          <t>TPSU</t>
        </is>
      </c>
      <c r="C640" s="90" t="inlineStr">
        <is>
          <t>L001</t>
        </is>
      </c>
      <c r="D640" s="84" t="n">
        <v>1090203</v>
      </c>
      <c r="E640" s="80" t="inlineStr">
        <is>
          <t>TUERCA 1/4" INOX.</t>
        </is>
      </c>
      <c r="F640" s="67" t="inlineStr">
        <is>
          <t>UN</t>
        </is>
      </c>
      <c r="G640" s="84" t="n">
        <v>47</v>
      </c>
      <c r="H640" s="57" t="inlineStr"/>
      <c r="I640" s="139" t="n">
        <v>6.07</v>
      </c>
      <c r="J640" s="140" t="n">
        <v>0.2704166666666667</v>
      </c>
      <c r="K640" s="86" t="inlineStr">
        <is>
          <t>PEN</t>
        </is>
      </c>
    </row>
    <row r="641">
      <c r="A641" s="84" t="n">
        <v>31014741</v>
      </c>
      <c r="B641" s="67" t="inlineStr">
        <is>
          <t>TPSU</t>
        </is>
      </c>
      <c r="C641" s="90" t="inlineStr">
        <is>
          <t>L001</t>
        </is>
      </c>
      <c r="D641" s="84" t="n">
        <v>1090203</v>
      </c>
      <c r="E641" s="80" t="inlineStr">
        <is>
          <t>TUERCA 1/4" INOX.</t>
        </is>
      </c>
      <c r="F641" s="67" t="inlineStr">
        <is>
          <t>UN</t>
        </is>
      </c>
      <c r="G641" s="84" t="n">
        <v>8</v>
      </c>
      <c r="H641" s="57" t="inlineStr"/>
      <c r="I641" s="139" t="n">
        <v>0.8</v>
      </c>
      <c r="J641" s="140" t="n">
        <v>0.19875</v>
      </c>
      <c r="K641" s="86" t="inlineStr">
        <is>
          <t>PEN</t>
        </is>
      </c>
    </row>
    <row r="642">
      <c r="A642" s="84" t="n">
        <v>31014665</v>
      </c>
      <c r="B642" s="67" t="inlineStr">
        <is>
          <t>TPSU</t>
        </is>
      </c>
      <c r="C642" s="90" t="inlineStr">
        <is>
          <t>L001</t>
        </is>
      </c>
      <c r="D642" s="84" t="n">
        <v>1090203</v>
      </c>
      <c r="E642" s="80" t="inlineStr">
        <is>
          <t>TUERCA FEN. 1/4"</t>
        </is>
      </c>
      <c r="F642" s="67" t="inlineStr">
        <is>
          <t>UN</t>
        </is>
      </c>
      <c r="G642" s="84" t="n">
        <v>24</v>
      </c>
      <c r="H642" s="57" t="inlineStr"/>
      <c r="I642" s="139" t="n">
        <v>0.52</v>
      </c>
      <c r="J642" s="140" t="n">
        <v>0.2</v>
      </c>
      <c r="K642" s="86" t="inlineStr">
        <is>
          <t>PEN</t>
        </is>
      </c>
    </row>
    <row r="643">
      <c r="A643" s="84" t="n">
        <v>31014748</v>
      </c>
      <c r="B643" s="67" t="inlineStr">
        <is>
          <t>TPSU</t>
        </is>
      </c>
      <c r="C643" s="90" t="inlineStr">
        <is>
          <t>L001</t>
        </is>
      </c>
      <c r="D643" s="84" t="n">
        <v>1090204</v>
      </c>
      <c r="E643" s="80" t="inlineStr">
        <is>
          <t>TUERCA 3/8" INOX.</t>
        </is>
      </c>
      <c r="F643" s="67" t="inlineStr">
        <is>
          <t>UN</t>
        </is>
      </c>
      <c r="G643" s="84" t="n">
        <v>134</v>
      </c>
      <c r="H643" s="57" t="inlineStr"/>
      <c r="I643" s="139" t="n">
        <v>34.1</v>
      </c>
      <c r="J643" s="140" t="n">
        <v>0.3712265331664581</v>
      </c>
      <c r="K643" s="86" t="inlineStr">
        <is>
          <t>PEN</t>
        </is>
      </c>
    </row>
    <row r="644">
      <c r="A644" s="84" t="n">
        <v>31014668</v>
      </c>
      <c r="B644" s="67" t="inlineStr">
        <is>
          <t>TPSU</t>
        </is>
      </c>
      <c r="C644" s="90" t="inlineStr">
        <is>
          <t>L001</t>
        </is>
      </c>
      <c r="D644" s="84" t="n">
        <v>1090204</v>
      </c>
      <c r="E644" s="80" t="inlineStr">
        <is>
          <t>TUERCA FEN. 3/8"</t>
        </is>
      </c>
      <c r="F644" s="67" t="inlineStr">
        <is>
          <t>UN</t>
        </is>
      </c>
      <c r="G644" s="84" t="n">
        <v>1</v>
      </c>
      <c r="H644" s="57" t="inlineStr"/>
      <c r="I644" s="139" t="n">
        <v>0.04</v>
      </c>
      <c r="J644" s="140" t="n">
        <v>0.2133333333333333</v>
      </c>
      <c r="K644" s="86" t="inlineStr">
        <is>
          <t>PEN</t>
        </is>
      </c>
    </row>
    <row r="645">
      <c r="A645" s="84" t="n">
        <v>31014687</v>
      </c>
      <c r="B645" s="67" t="inlineStr">
        <is>
          <t>TPSU</t>
        </is>
      </c>
      <c r="C645" s="90" t="inlineStr">
        <is>
          <t>L001</t>
        </is>
      </c>
      <c r="D645" s="84" t="n">
        <v>1090204</v>
      </c>
      <c r="E645" s="80" t="inlineStr">
        <is>
          <t>TUERCA G5 3/8"</t>
        </is>
      </c>
      <c r="F645" s="67" t="inlineStr">
        <is>
          <t>UN</t>
        </is>
      </c>
      <c r="G645" s="84" t="n">
        <v>1023</v>
      </c>
      <c r="H645" s="57" t="inlineStr"/>
      <c r="I645" s="139" t="n">
        <v>209.27</v>
      </c>
      <c r="J645" s="140" t="n">
        <v>0.8541666666666666</v>
      </c>
      <c r="K645" s="86" t="inlineStr">
        <is>
          <t>PEN</t>
        </is>
      </c>
    </row>
    <row r="646">
      <c r="A646" s="84" t="n">
        <v>31014687</v>
      </c>
      <c r="B646" s="67" t="inlineStr">
        <is>
          <t>TPSU</t>
        </is>
      </c>
      <c r="C646" s="90" t="inlineStr">
        <is>
          <t>L001</t>
        </is>
      </c>
      <c r="D646" s="84" t="n">
        <v>1090204</v>
      </c>
      <c r="E646" s="80" t="inlineStr">
        <is>
          <t>TUERCA G5 3/8"</t>
        </is>
      </c>
      <c r="F646" s="67" t="inlineStr">
        <is>
          <t>UN</t>
        </is>
      </c>
      <c r="G646" s="84" t="n">
        <v>6</v>
      </c>
      <c r="H646" s="57" t="inlineStr"/>
      <c r="I646" s="139" t="n">
        <v>0.48</v>
      </c>
      <c r="J646" s="140" t="n">
        <v>0.21</v>
      </c>
      <c r="K646" s="86" t="inlineStr">
        <is>
          <t>PEN</t>
        </is>
      </c>
    </row>
    <row r="647">
      <c r="A647" s="84" t="n">
        <v>31014747</v>
      </c>
      <c r="B647" s="67" t="inlineStr">
        <is>
          <t>TPSU</t>
        </is>
      </c>
      <c r="C647" s="90" t="inlineStr">
        <is>
          <t>L001</t>
        </is>
      </c>
      <c r="D647" s="84" t="n">
        <v>1090205</v>
      </c>
      <c r="E647" s="80" t="inlineStr">
        <is>
          <t>TUERCA 1/2" INOX.</t>
        </is>
      </c>
      <c r="F647" s="67" t="inlineStr">
        <is>
          <t>UN</t>
        </is>
      </c>
      <c r="G647" s="84" t="n">
        <v>140</v>
      </c>
      <c r="H647" s="57" t="inlineStr"/>
      <c r="I647" s="139" t="n">
        <v>82.28</v>
      </c>
      <c r="J647" s="140" t="n">
        <v>0.6107462686567164</v>
      </c>
      <c r="K647" s="86" t="inlineStr">
        <is>
          <t>PEN</t>
        </is>
      </c>
    </row>
    <row r="648">
      <c r="A648" s="84" t="n">
        <v>31014778</v>
      </c>
      <c r="B648" s="67" t="inlineStr">
        <is>
          <t>TPSU</t>
        </is>
      </c>
      <c r="C648" s="90" t="inlineStr">
        <is>
          <t>L001</t>
        </is>
      </c>
      <c r="D648" s="84" t="n">
        <v>1090205</v>
      </c>
      <c r="E648" s="80" t="inlineStr">
        <is>
          <t>TUERCA 1/2" ZINC</t>
        </is>
      </c>
      <c r="F648" s="67" t="inlineStr">
        <is>
          <t>UN</t>
        </is>
      </c>
      <c r="G648" s="84" t="n">
        <v>80</v>
      </c>
      <c r="H648" s="57" t="inlineStr"/>
      <c r="I648" s="139" t="n">
        <v>28</v>
      </c>
      <c r="J648" s="140" t="n">
        <v>0.4</v>
      </c>
      <c r="K648" s="86" t="inlineStr">
        <is>
          <t>PEN</t>
        </is>
      </c>
    </row>
    <row r="649">
      <c r="A649" s="84" t="n">
        <v>31014664</v>
      </c>
      <c r="B649" s="67" t="inlineStr">
        <is>
          <t>TPSU</t>
        </is>
      </c>
      <c r="C649" s="90" t="inlineStr">
        <is>
          <t>L001</t>
        </is>
      </c>
      <c r="D649" s="84" t="n">
        <v>1090205</v>
      </c>
      <c r="E649" s="80" t="inlineStr">
        <is>
          <t>TUERCA FEN. 1/2"</t>
        </is>
      </c>
      <c r="F649" s="67" t="inlineStr">
        <is>
          <t>UN</t>
        </is>
      </c>
      <c r="G649" s="84" t="n">
        <v>322</v>
      </c>
      <c r="H649" s="57" t="inlineStr"/>
      <c r="I649" s="139" t="n">
        <v>122.36</v>
      </c>
      <c r="J649" s="140" t="n">
        <v>0.8245833333333333</v>
      </c>
      <c r="K649" s="86" t="inlineStr">
        <is>
          <t>PEN</t>
        </is>
      </c>
    </row>
    <row r="650">
      <c r="A650" s="84" t="n">
        <v>31014684</v>
      </c>
      <c r="B650" s="67" t="inlineStr">
        <is>
          <t>TPSU</t>
        </is>
      </c>
      <c r="C650" s="90" t="inlineStr">
        <is>
          <t>L001</t>
        </is>
      </c>
      <c r="D650" s="84" t="n">
        <v>1090205</v>
      </c>
      <c r="E650" s="80" t="inlineStr">
        <is>
          <t>TUERCA G5 1/2"</t>
        </is>
      </c>
      <c r="F650" s="67" t="inlineStr">
        <is>
          <t>UN</t>
        </is>
      </c>
      <c r="G650" s="84" t="n">
        <v>576</v>
      </c>
      <c r="H650" s="57" t="inlineStr"/>
      <c r="I650" s="139" t="n">
        <v>123.45</v>
      </c>
      <c r="J650" s="140" t="n">
        <v>0.45</v>
      </c>
      <c r="K650" s="86" t="inlineStr">
        <is>
          <t>PEN</t>
        </is>
      </c>
    </row>
    <row r="651">
      <c r="A651" s="84" t="n">
        <v>31014751</v>
      </c>
      <c r="B651" s="67" t="inlineStr">
        <is>
          <t>TPSU</t>
        </is>
      </c>
      <c r="C651" s="90" t="inlineStr">
        <is>
          <t>L001</t>
        </is>
      </c>
      <c r="D651" s="84" t="n">
        <v>1090206</v>
      </c>
      <c r="E651" s="80" t="inlineStr">
        <is>
          <t>TUERCA 5/8" INOX.</t>
        </is>
      </c>
      <c r="F651" s="67" t="inlineStr">
        <is>
          <t>UN</t>
        </is>
      </c>
      <c r="G651" s="84" t="n">
        <v>57</v>
      </c>
      <c r="H651" s="57" t="inlineStr"/>
      <c r="I651" s="139" t="n">
        <v>80.91</v>
      </c>
      <c r="J651" s="140" t="n">
        <v>0.68</v>
      </c>
      <c r="K651" s="86" t="inlineStr">
        <is>
          <t>PEN</t>
        </is>
      </c>
    </row>
    <row r="652">
      <c r="A652" s="84" t="n">
        <v>31014689</v>
      </c>
      <c r="B652" s="67" t="inlineStr">
        <is>
          <t>TPSU</t>
        </is>
      </c>
      <c r="C652" s="90" t="inlineStr">
        <is>
          <t>L001</t>
        </is>
      </c>
      <c r="D652" s="84" t="n">
        <v>1090206</v>
      </c>
      <c r="E652" s="80" t="inlineStr">
        <is>
          <t>TUERCA G5 5/8"</t>
        </is>
      </c>
      <c r="F652" s="67" t="inlineStr">
        <is>
          <t>UN</t>
        </is>
      </c>
      <c r="G652" s="84" t="n">
        <v>145</v>
      </c>
      <c r="H652" s="57" t="inlineStr"/>
      <c r="I652" s="139" t="n">
        <v>50.03</v>
      </c>
      <c r="J652" s="140" t="n">
        <v>2.6</v>
      </c>
      <c r="K652" s="86" t="inlineStr">
        <is>
          <t>PEN</t>
        </is>
      </c>
    </row>
    <row r="653">
      <c r="A653" s="84" t="n">
        <v>31014689</v>
      </c>
      <c r="B653" s="67" t="inlineStr">
        <is>
          <t>TPSU</t>
        </is>
      </c>
      <c r="C653" s="90" t="inlineStr">
        <is>
          <t>L001</t>
        </is>
      </c>
      <c r="D653" s="84" t="n">
        <v>1090206</v>
      </c>
      <c r="E653" s="80" t="inlineStr">
        <is>
          <t>TUERCA G5 5/8"</t>
        </is>
      </c>
      <c r="F653" s="67" t="inlineStr">
        <is>
          <t>UN</t>
        </is>
      </c>
      <c r="G653" s="84" t="n">
        <v>24</v>
      </c>
      <c r="H653" s="57" t="inlineStr"/>
      <c r="I653" s="139" t="n">
        <v>7.85</v>
      </c>
      <c r="J653" s="140" t="n">
        <v>2.66</v>
      </c>
      <c r="K653" s="86" t="inlineStr">
        <is>
          <t>PEN</t>
        </is>
      </c>
    </row>
    <row r="654">
      <c r="A654" s="84" t="n">
        <v>31014698</v>
      </c>
      <c r="B654" s="67" t="inlineStr">
        <is>
          <t>TPSU</t>
        </is>
      </c>
      <c r="C654" s="90" t="inlineStr">
        <is>
          <t>L001</t>
        </is>
      </c>
      <c r="D654" s="84" t="n">
        <v>1090206</v>
      </c>
      <c r="E654" s="80" t="inlineStr">
        <is>
          <t>TUERCA G8 5/8"</t>
        </is>
      </c>
      <c r="F654" s="67" t="inlineStr">
        <is>
          <t>UN</t>
        </is>
      </c>
      <c r="G654" s="84" t="n">
        <v>4</v>
      </c>
      <c r="H654" s="57" t="inlineStr"/>
      <c r="I654" s="139" t="n">
        <v>1.4</v>
      </c>
      <c r="J654" s="140" t="n">
        <v>0.4587609213661636</v>
      </c>
      <c r="K654" s="86" t="inlineStr">
        <is>
          <t>PEN</t>
        </is>
      </c>
    </row>
    <row r="655">
      <c r="A655" s="84" t="n">
        <v>31014743</v>
      </c>
      <c r="B655" s="67" t="inlineStr">
        <is>
          <t>TPSU</t>
        </is>
      </c>
      <c r="C655" s="90" t="inlineStr">
        <is>
          <t>L001</t>
        </is>
      </c>
      <c r="D655" s="84" t="n">
        <v>1090207</v>
      </c>
      <c r="E655" s="80" t="inlineStr">
        <is>
          <t>TUERCA 3/4" INOX.</t>
        </is>
      </c>
      <c r="F655" s="67" t="inlineStr">
        <is>
          <t>UN</t>
        </is>
      </c>
      <c r="G655" s="84" t="n">
        <v>19</v>
      </c>
      <c r="H655" s="57" t="inlineStr"/>
      <c r="I655" s="139" t="n">
        <v>29.25</v>
      </c>
      <c r="J655" s="140" t="n">
        <v>1.1075</v>
      </c>
      <c r="K655" s="86" t="inlineStr">
        <is>
          <t>PEN</t>
        </is>
      </c>
    </row>
    <row r="656">
      <c r="A656" s="84" t="n">
        <v>31014686</v>
      </c>
      <c r="B656" s="67" t="inlineStr">
        <is>
          <t>TPSU</t>
        </is>
      </c>
      <c r="C656" s="90" t="inlineStr">
        <is>
          <t>L001</t>
        </is>
      </c>
      <c r="D656" s="84" t="n">
        <v>1090207</v>
      </c>
      <c r="E656" s="80" t="inlineStr">
        <is>
          <t>TUERCA G5 3/4"</t>
        </is>
      </c>
      <c r="F656" s="67" t="inlineStr">
        <is>
          <t>UN</t>
        </is>
      </c>
      <c r="G656" s="84" t="n">
        <v>54</v>
      </c>
      <c r="H656" s="57" t="inlineStr"/>
      <c r="I656" s="139" t="n">
        <v>28.99</v>
      </c>
      <c r="J656" s="140" t="n">
        <v>1.134571428571429</v>
      </c>
      <c r="K656" s="86" t="inlineStr">
        <is>
          <t>PEN</t>
        </is>
      </c>
    </row>
    <row r="657">
      <c r="A657" s="84" t="n">
        <v>31014686</v>
      </c>
      <c r="B657" s="67" t="inlineStr">
        <is>
          <t>TPSU</t>
        </is>
      </c>
      <c r="C657" s="90" t="inlineStr">
        <is>
          <t>L001</t>
        </is>
      </c>
      <c r="D657" s="84" t="n">
        <v>1090207</v>
      </c>
      <c r="E657" s="80" t="inlineStr">
        <is>
          <t>TUERCA G5 3/4"</t>
        </is>
      </c>
      <c r="F657" s="67" t="inlineStr">
        <is>
          <t>UN</t>
        </is>
      </c>
      <c r="G657" s="84" t="n">
        <v>4</v>
      </c>
      <c r="H657" s="57" t="inlineStr"/>
      <c r="I657" s="139" t="n">
        <v>2.21</v>
      </c>
      <c r="J657" s="140" t="n">
        <v>0.9977777777777777</v>
      </c>
      <c r="K657" s="86" t="inlineStr">
        <is>
          <t>PEN</t>
        </is>
      </c>
    </row>
    <row r="658">
      <c r="A658" s="84" t="n">
        <v>31014697</v>
      </c>
      <c r="B658" s="67" t="inlineStr">
        <is>
          <t>TPSU</t>
        </is>
      </c>
      <c r="C658" s="90" t="inlineStr">
        <is>
          <t>L001</t>
        </is>
      </c>
      <c r="D658" s="84" t="n">
        <v>1090207</v>
      </c>
      <c r="E658" s="80" t="inlineStr">
        <is>
          <t>TUERCA G8 3/4"</t>
        </is>
      </c>
      <c r="F658" s="67" t="inlineStr">
        <is>
          <t>UN</t>
        </is>
      </c>
      <c r="G658" s="84" t="n">
        <v>4</v>
      </c>
      <c r="H658" s="57" t="inlineStr"/>
      <c r="I658" s="139" t="n">
        <v>1.76</v>
      </c>
      <c r="J658" s="140" t="n">
        <v>0.8144787644787644</v>
      </c>
      <c r="K658" s="86" t="inlineStr">
        <is>
          <t>PEN</t>
        </is>
      </c>
    </row>
    <row r="659">
      <c r="A659" s="84" t="n">
        <v>31014744</v>
      </c>
      <c r="B659" s="67" t="inlineStr">
        <is>
          <t>TPSU</t>
        </is>
      </c>
      <c r="C659" s="90" t="inlineStr">
        <is>
          <t>L001</t>
        </is>
      </c>
      <c r="D659" s="84" t="n">
        <v>1090208</v>
      </c>
      <c r="E659" s="80" t="inlineStr">
        <is>
          <t>TUERCA 7/8" INOX.</t>
        </is>
      </c>
      <c r="F659" s="67" t="inlineStr">
        <is>
          <t>UN</t>
        </is>
      </c>
      <c r="G659" s="84" t="n">
        <v>6</v>
      </c>
      <c r="H659" s="57" t="inlineStr"/>
      <c r="I659" s="139" t="n">
        <v>18.36</v>
      </c>
      <c r="J659" s="140" t="n">
        <v>2.30425</v>
      </c>
      <c r="K659" s="86" t="inlineStr">
        <is>
          <t>PEN</t>
        </is>
      </c>
    </row>
    <row r="660">
      <c r="A660" s="84" t="n">
        <v>31014691</v>
      </c>
      <c r="B660" s="67" t="inlineStr">
        <is>
          <t>TPSU</t>
        </is>
      </c>
      <c r="C660" s="90" t="inlineStr">
        <is>
          <t>L001</t>
        </is>
      </c>
      <c r="D660" s="84" t="n">
        <v>1090208</v>
      </c>
      <c r="E660" s="80" t="inlineStr">
        <is>
          <t>TUERCA G5 7/8"</t>
        </is>
      </c>
      <c r="F660" s="67" t="inlineStr">
        <is>
          <t>UN</t>
        </is>
      </c>
      <c r="G660" s="84" t="n">
        <v>27</v>
      </c>
      <c r="H660" s="57" t="inlineStr"/>
      <c r="I660" s="139" t="n">
        <v>28.63</v>
      </c>
      <c r="J660" s="140" t="n">
        <v>0.6711538461538461</v>
      </c>
      <c r="K660" s="86" t="inlineStr">
        <is>
          <t>PEN</t>
        </is>
      </c>
    </row>
    <row r="661">
      <c r="A661" s="84" t="n">
        <v>31014691</v>
      </c>
      <c r="B661" s="67" t="inlineStr">
        <is>
          <t>TPSU</t>
        </is>
      </c>
      <c r="C661" s="90" t="inlineStr">
        <is>
          <t>L001</t>
        </is>
      </c>
      <c r="D661" s="84" t="n">
        <v>1090208</v>
      </c>
      <c r="E661" s="80" t="inlineStr">
        <is>
          <t>TUERCA G5 7/8"</t>
        </is>
      </c>
      <c r="F661" s="67" t="inlineStr">
        <is>
          <t>UN</t>
        </is>
      </c>
      <c r="G661" s="84" t="n">
        <v>8</v>
      </c>
      <c r="H661" s="57" t="inlineStr"/>
      <c r="I661" s="139" t="n">
        <v>7.44</v>
      </c>
      <c r="J661" s="140" t="n">
        <v>1.808947368421052</v>
      </c>
      <c r="K661" s="86" t="inlineStr">
        <is>
          <t>PEN</t>
        </is>
      </c>
    </row>
    <row r="662">
      <c r="A662" s="84" t="n">
        <v>31014745</v>
      </c>
      <c r="B662" s="67" t="inlineStr">
        <is>
          <t>TPSU</t>
        </is>
      </c>
      <c r="C662" s="90" t="inlineStr">
        <is>
          <t>L001</t>
        </is>
      </c>
      <c r="D662" s="84" t="n">
        <v>1090209</v>
      </c>
      <c r="E662" s="80" t="inlineStr">
        <is>
          <t>TUERCA 1" INOX.</t>
        </is>
      </c>
      <c r="F662" s="67" t="inlineStr">
        <is>
          <t>UN</t>
        </is>
      </c>
      <c r="G662" s="84" t="n">
        <v>13</v>
      </c>
      <c r="H662" s="57" t="inlineStr"/>
      <c r="I662" s="139" t="n">
        <v>60.84</v>
      </c>
      <c r="J662" s="140" t="n">
        <v>0.9399999999999999</v>
      </c>
      <c r="K662" s="86" t="inlineStr">
        <is>
          <t>PEN</t>
        </is>
      </c>
    </row>
    <row r="663">
      <c r="A663" s="84" t="n">
        <v>31014624</v>
      </c>
      <c r="B663" s="67" t="inlineStr">
        <is>
          <t>TPSU</t>
        </is>
      </c>
      <c r="C663" s="90" t="inlineStr">
        <is>
          <t>L001</t>
        </is>
      </c>
      <c r="D663" s="84" t="n">
        <v>1090209</v>
      </c>
      <c r="E663" s="80" t="inlineStr">
        <is>
          <t>TUERCA 1" INOX. HF</t>
        </is>
      </c>
      <c r="F663" s="67" t="inlineStr">
        <is>
          <t>UN</t>
        </is>
      </c>
      <c r="G663" s="84" t="n">
        <v>32</v>
      </c>
      <c r="H663" s="57" t="inlineStr"/>
      <c r="I663" s="139" t="n">
        <v>240</v>
      </c>
      <c r="J663" s="140" t="n">
        <v>2.173888888888889</v>
      </c>
      <c r="K663" s="86" t="inlineStr">
        <is>
          <t>PEN</t>
        </is>
      </c>
    </row>
    <row r="664">
      <c r="A664" s="84" t="n">
        <v>31014683</v>
      </c>
      <c r="B664" s="67" t="inlineStr">
        <is>
          <t>TPSU</t>
        </is>
      </c>
      <c r="C664" s="90" t="inlineStr">
        <is>
          <t>L001</t>
        </is>
      </c>
      <c r="D664" s="84" t="n">
        <v>1090209</v>
      </c>
      <c r="E664" s="80" t="inlineStr">
        <is>
          <t>TUERCA G5 1"</t>
        </is>
      </c>
      <c r="F664" s="67" t="inlineStr">
        <is>
          <t>UN</t>
        </is>
      </c>
      <c r="G664" s="84" t="n">
        <v>23</v>
      </c>
      <c r="H664" s="57" t="inlineStr"/>
      <c r="I664" s="139" t="n">
        <v>38.35</v>
      </c>
      <c r="J664" s="140" t="n">
        <v>3.169615384615384</v>
      </c>
      <c r="K664" s="86" t="inlineStr">
        <is>
          <t>PEN</t>
        </is>
      </c>
    </row>
    <row r="665">
      <c r="A665" s="84" t="n">
        <v>31012839</v>
      </c>
      <c r="B665" s="67" t="inlineStr">
        <is>
          <t>TPSU</t>
        </is>
      </c>
      <c r="C665" s="90" t="inlineStr">
        <is>
          <t>L001</t>
        </is>
      </c>
      <c r="D665" s="84" t="n">
        <v>1090301</v>
      </c>
      <c r="E665" s="80" t="inlineStr">
        <is>
          <t>PERNO HEXAGONAL M8 X 40MM INOX.</t>
        </is>
      </c>
      <c r="F665" s="67" t="inlineStr">
        <is>
          <t>UN</t>
        </is>
      </c>
      <c r="G665" s="84" t="n">
        <v>8</v>
      </c>
      <c r="H665" s="57" t="inlineStr"/>
      <c r="I665" s="139" t="n">
        <v>6</v>
      </c>
      <c r="J665" s="140" t="n">
        <v>4.086428571428572</v>
      </c>
      <c r="K665" s="86" t="inlineStr">
        <is>
          <t>PEN</t>
        </is>
      </c>
    </row>
    <row r="666">
      <c r="A666" s="84" t="n">
        <v>31015357</v>
      </c>
      <c r="B666" s="67" t="inlineStr">
        <is>
          <t>TPSU</t>
        </is>
      </c>
      <c r="C666" s="90" t="inlineStr">
        <is>
          <t>L001</t>
        </is>
      </c>
      <c r="D666" s="84" t="n">
        <v>1090301</v>
      </c>
      <c r="E666" s="80" t="inlineStr">
        <is>
          <t>PERNO HILTI 1/2" X 4"</t>
        </is>
      </c>
      <c r="F666" s="67" t="inlineStr">
        <is>
          <t>UN</t>
        </is>
      </c>
      <c r="G666" s="84" t="n">
        <v>2</v>
      </c>
      <c r="H666" s="57" t="inlineStr"/>
      <c r="I666" s="139" t="n">
        <v>3</v>
      </c>
      <c r="J666" s="140" t="n">
        <v>6.8</v>
      </c>
      <c r="K666" s="86" t="inlineStr">
        <is>
          <t>PEN</t>
        </is>
      </c>
    </row>
    <row r="667">
      <c r="A667" s="84" t="n">
        <v>31012888</v>
      </c>
      <c r="B667" s="67" t="inlineStr">
        <is>
          <t>TPSU</t>
        </is>
      </c>
      <c r="C667" s="90" t="inlineStr">
        <is>
          <t>L001</t>
        </is>
      </c>
      <c r="D667" s="84" t="n">
        <v>1090301</v>
      </c>
      <c r="E667" s="80" t="inlineStr">
        <is>
          <t>PERNO SOCKET 3/8" X 1.1/2" INOX.</t>
        </is>
      </c>
      <c r="F667" s="67" t="inlineStr">
        <is>
          <t>UN</t>
        </is>
      </c>
      <c r="G667" s="84" t="n">
        <v>2</v>
      </c>
      <c r="H667" s="57" t="inlineStr"/>
      <c r="I667" s="139" t="n">
        <v>2.58</v>
      </c>
      <c r="J667" s="140" t="n">
        <v>0.97</v>
      </c>
      <c r="K667" s="86" t="inlineStr">
        <is>
          <t>PEN</t>
        </is>
      </c>
    </row>
    <row r="668">
      <c r="A668" s="84" t="n">
        <v>31012556</v>
      </c>
      <c r="B668" s="67" t="inlineStr">
        <is>
          <t>TPSU</t>
        </is>
      </c>
      <c r="C668" s="90" t="inlineStr">
        <is>
          <t>L001</t>
        </is>
      </c>
      <c r="D668" s="84" t="n">
        <v>1090302</v>
      </c>
      <c r="E668" s="80" t="inlineStr">
        <is>
          <t>PERNO HEXAGONAL 5/16" X 1" G5</t>
        </is>
      </c>
      <c r="F668" s="67" t="inlineStr">
        <is>
          <t>UN</t>
        </is>
      </c>
      <c r="G668" s="84" t="n">
        <v>10</v>
      </c>
      <c r="H668" s="57" t="inlineStr"/>
      <c r="I668" s="139" t="n">
        <v>1.2</v>
      </c>
      <c r="J668" s="140" t="n">
        <v>2.627727272727273</v>
      </c>
      <c r="K668" s="86" t="inlineStr">
        <is>
          <t>PEN</t>
        </is>
      </c>
    </row>
    <row r="669">
      <c r="A669" s="84" t="n">
        <v>31012558</v>
      </c>
      <c r="B669" s="67" t="inlineStr">
        <is>
          <t>TPSU</t>
        </is>
      </c>
      <c r="C669" s="90" t="inlineStr">
        <is>
          <t>L001</t>
        </is>
      </c>
      <c r="D669" s="84" t="n">
        <v>1090302</v>
      </c>
      <c r="E669" s="80" t="inlineStr">
        <is>
          <t>PERNO HEXAGONAL 5/16" X 1" INOX.</t>
        </is>
      </c>
      <c r="F669" s="67" t="inlineStr">
        <is>
          <t>UN</t>
        </is>
      </c>
      <c r="G669" s="84" t="n">
        <v>33</v>
      </c>
      <c r="H669" s="57" t="inlineStr"/>
      <c r="I669" s="139" t="n">
        <v>12.54</v>
      </c>
      <c r="J669" s="140" t="n">
        <v>1.347169811320755</v>
      </c>
      <c r="K669" s="86" t="inlineStr">
        <is>
          <t>PEN</t>
        </is>
      </c>
    </row>
    <row r="670">
      <c r="A670" s="84" t="n">
        <v>31012572</v>
      </c>
      <c r="B670" s="67" t="inlineStr">
        <is>
          <t>TPSU</t>
        </is>
      </c>
      <c r="C670" s="90" t="inlineStr">
        <is>
          <t>L001</t>
        </is>
      </c>
      <c r="D670" s="84" t="n">
        <v>1090302</v>
      </c>
      <c r="E670" s="80" t="inlineStr">
        <is>
          <t>PERNO HEXAGONAL 5/16" X 2" FEN.</t>
        </is>
      </c>
      <c r="F670" s="67" t="inlineStr">
        <is>
          <t>UN</t>
        </is>
      </c>
      <c r="G670" s="84" t="n">
        <v>10</v>
      </c>
      <c r="H670" s="57" t="inlineStr"/>
      <c r="I670" s="139" t="n">
        <v>3</v>
      </c>
      <c r="J670" s="140" t="n">
        <v>3.670555555555555</v>
      </c>
      <c r="K670" s="86" t="inlineStr">
        <is>
          <t>PEN</t>
        </is>
      </c>
    </row>
    <row r="671">
      <c r="A671" s="84" t="n">
        <v>31012396</v>
      </c>
      <c r="B671" s="67" t="inlineStr">
        <is>
          <t>TPSU</t>
        </is>
      </c>
      <c r="C671" s="90" t="inlineStr">
        <is>
          <t>L001</t>
        </is>
      </c>
      <c r="D671" s="84" t="n">
        <v>1090303</v>
      </c>
      <c r="E671" s="80" t="inlineStr">
        <is>
          <t>PERNO HEXAGONAL 1/4" X 1.1/2" INOX.</t>
        </is>
      </c>
      <c r="F671" s="67" t="inlineStr">
        <is>
          <t>UN</t>
        </is>
      </c>
      <c r="G671" s="84" t="n">
        <v>20</v>
      </c>
      <c r="H671" s="57" t="inlineStr"/>
      <c r="I671" s="139" t="n">
        <v>6.39</v>
      </c>
      <c r="J671" s="140" t="n">
        <v>1.438205128205128</v>
      </c>
      <c r="K671" s="86" t="inlineStr">
        <is>
          <t>PEN</t>
        </is>
      </c>
    </row>
    <row r="672">
      <c r="A672" s="84" t="n">
        <v>31012390</v>
      </c>
      <c r="B672" s="67" t="inlineStr">
        <is>
          <t>TPSU</t>
        </is>
      </c>
      <c r="C672" s="90" t="inlineStr">
        <is>
          <t>L001</t>
        </is>
      </c>
      <c r="D672" s="84" t="n">
        <v>1090303</v>
      </c>
      <c r="E672" s="80" t="inlineStr">
        <is>
          <t>PERNO HEXAGONAL 1/4" X 1" INOX.</t>
        </is>
      </c>
      <c r="F672" s="67" t="inlineStr">
        <is>
          <t>UN</t>
        </is>
      </c>
      <c r="G672" s="84" t="n">
        <v>24</v>
      </c>
      <c r="H672" s="57" t="inlineStr"/>
      <c r="I672" s="139" t="n">
        <v>6.49</v>
      </c>
      <c r="J672" s="140" t="n">
        <v>1.08</v>
      </c>
      <c r="K672" s="86" t="inlineStr">
        <is>
          <t>PEN</t>
        </is>
      </c>
    </row>
    <row r="673">
      <c r="A673" s="84" t="n">
        <v>31012390</v>
      </c>
      <c r="B673" s="67" t="inlineStr">
        <is>
          <t>TPSU</t>
        </is>
      </c>
      <c r="C673" s="90" t="inlineStr">
        <is>
          <t>L001</t>
        </is>
      </c>
      <c r="D673" s="84" t="n">
        <v>1090303</v>
      </c>
      <c r="E673" s="80" t="inlineStr">
        <is>
          <t>PERNO HEXAGONAL 1/4" X 1" INOX.</t>
        </is>
      </c>
      <c r="F673" s="67" t="inlineStr">
        <is>
          <t>UN</t>
        </is>
      </c>
      <c r="G673" s="84" t="n">
        <v>8</v>
      </c>
      <c r="H673" s="57" t="inlineStr"/>
      <c r="I673" s="139" t="n">
        <v>1.59</v>
      </c>
      <c r="J673" s="140" t="n">
        <v>1.694285714285714</v>
      </c>
      <c r="K673" s="86" t="inlineStr">
        <is>
          <t>PEN</t>
        </is>
      </c>
    </row>
    <row r="674">
      <c r="A674" s="84" t="n">
        <v>31012390</v>
      </c>
      <c r="B674" s="67" t="inlineStr">
        <is>
          <t>TPSU</t>
        </is>
      </c>
      <c r="C674" s="90" t="inlineStr">
        <is>
          <t>L001</t>
        </is>
      </c>
      <c r="D674" s="84" t="n">
        <v>1090303</v>
      </c>
      <c r="E674" s="80" t="inlineStr">
        <is>
          <t>PERNO HEXAGONAL 1/4" X 1" INOX.</t>
        </is>
      </c>
      <c r="F674" s="67" t="inlineStr">
        <is>
          <t>UN</t>
        </is>
      </c>
      <c r="G674" s="84" t="n">
        <v>16</v>
      </c>
      <c r="H674" s="57" t="inlineStr"/>
      <c r="I674" s="139" t="n">
        <v>3.2</v>
      </c>
      <c r="J674" s="140" t="n">
        <v>2.65</v>
      </c>
      <c r="K674" s="86" t="inlineStr">
        <is>
          <t>PEN</t>
        </is>
      </c>
    </row>
    <row r="675">
      <c r="A675" s="84" t="n">
        <v>31012505</v>
      </c>
      <c r="B675" s="67" t="inlineStr">
        <is>
          <t>TPSU</t>
        </is>
      </c>
      <c r="C675" s="90" t="inlineStr">
        <is>
          <t>L001</t>
        </is>
      </c>
      <c r="D675" s="84" t="n">
        <v>1090304</v>
      </c>
      <c r="E675" s="80" t="inlineStr">
        <is>
          <t>PERNO HEXAGONAL 3/8" X 1.1/2" G5</t>
        </is>
      </c>
      <c r="F675" s="67" t="inlineStr">
        <is>
          <t>UN</t>
        </is>
      </c>
      <c r="G675" s="84" t="n">
        <v>799</v>
      </c>
      <c r="H675" s="57" t="inlineStr"/>
      <c r="I675" s="139" t="n">
        <v>296.61</v>
      </c>
      <c r="J675" s="140" t="n">
        <v>2.530476190476191</v>
      </c>
      <c r="K675" s="86" t="inlineStr">
        <is>
          <t>PEN</t>
        </is>
      </c>
    </row>
    <row r="676">
      <c r="A676" s="84" t="n">
        <v>31012505</v>
      </c>
      <c r="B676" s="67" t="inlineStr">
        <is>
          <t>TPSU</t>
        </is>
      </c>
      <c r="C676" s="90" t="inlineStr">
        <is>
          <t>L001</t>
        </is>
      </c>
      <c r="D676" s="84" t="n">
        <v>1090304</v>
      </c>
      <c r="E676" s="80" t="inlineStr">
        <is>
          <t>PERNO HEXAGONAL 3/8" X 1.1/2" G5</t>
        </is>
      </c>
      <c r="F676" s="67" t="inlineStr">
        <is>
          <t>UN</t>
        </is>
      </c>
      <c r="G676" s="84" t="n">
        <v>6</v>
      </c>
      <c r="H676" s="57" t="inlineStr"/>
      <c r="I676" s="139" t="n">
        <v>1.28</v>
      </c>
      <c r="J676" s="140" t="n">
        <v>2.677058823529412</v>
      </c>
      <c r="K676" s="86" t="inlineStr">
        <is>
          <t>PEN</t>
        </is>
      </c>
    </row>
    <row r="677">
      <c r="A677" s="84" t="n">
        <v>31012507</v>
      </c>
      <c r="B677" s="67" t="inlineStr">
        <is>
          <t>TPSU</t>
        </is>
      </c>
      <c r="C677" s="90" t="inlineStr">
        <is>
          <t>L001</t>
        </is>
      </c>
      <c r="D677" s="84" t="n">
        <v>1090304</v>
      </c>
      <c r="E677" s="80" t="inlineStr">
        <is>
          <t>PERNO HEXAGONAL 3/8" X 1.1/2" INOX.</t>
        </is>
      </c>
      <c r="F677" s="67" t="inlineStr">
        <is>
          <t>UN</t>
        </is>
      </c>
      <c r="G677" s="84" t="n">
        <v>24</v>
      </c>
      <c r="H677" s="57" t="inlineStr"/>
      <c r="I677" s="139" t="n">
        <v>20.5</v>
      </c>
      <c r="J677" s="140" t="n">
        <v>6.19</v>
      </c>
      <c r="K677" s="86" t="inlineStr">
        <is>
          <t>PEN</t>
        </is>
      </c>
    </row>
    <row r="678">
      <c r="A678" s="84" t="n">
        <v>31012501</v>
      </c>
      <c r="B678" s="67" t="inlineStr">
        <is>
          <t>TPSU</t>
        </is>
      </c>
      <c r="C678" s="90" t="inlineStr">
        <is>
          <t>L001</t>
        </is>
      </c>
      <c r="D678" s="84" t="n">
        <v>1090304</v>
      </c>
      <c r="E678" s="80" t="inlineStr">
        <is>
          <t>PERNO HEXAGONAL 3/8" X 1" G5</t>
        </is>
      </c>
      <c r="F678" s="67" t="inlineStr">
        <is>
          <t>UN</t>
        </is>
      </c>
      <c r="G678" s="84" t="n">
        <v>65</v>
      </c>
      <c r="H678" s="57" t="inlineStr"/>
      <c r="I678" s="139" t="n">
        <v>13.65</v>
      </c>
      <c r="J678" s="140" t="n">
        <v>1.91</v>
      </c>
      <c r="K678" s="86" t="inlineStr">
        <is>
          <t>PEN</t>
        </is>
      </c>
    </row>
    <row r="679">
      <c r="A679" s="84" t="n">
        <v>31012503</v>
      </c>
      <c r="B679" s="67" t="inlineStr">
        <is>
          <t>TPSU</t>
        </is>
      </c>
      <c r="C679" s="90" t="inlineStr">
        <is>
          <t>L001</t>
        </is>
      </c>
      <c r="D679" s="84" t="n">
        <v>1090304</v>
      </c>
      <c r="E679" s="80" t="inlineStr">
        <is>
          <t>PERNO HEXAGONAL 3/8" X 1" INOX.</t>
        </is>
      </c>
      <c r="F679" s="67" t="inlineStr">
        <is>
          <t>UN</t>
        </is>
      </c>
      <c r="G679" s="84" t="n">
        <v>67</v>
      </c>
      <c r="H679" s="57" t="inlineStr"/>
      <c r="I679" s="139" t="n">
        <v>40.92</v>
      </c>
      <c r="J679" s="140" t="n">
        <v>2.847916666666666</v>
      </c>
      <c r="K679" s="86" t="inlineStr">
        <is>
          <t>PEN</t>
        </is>
      </c>
    </row>
    <row r="680">
      <c r="A680" s="84" t="n">
        <v>31012518</v>
      </c>
      <c r="B680" s="67" t="inlineStr">
        <is>
          <t>TPSU</t>
        </is>
      </c>
      <c r="C680" s="90" t="inlineStr">
        <is>
          <t>L001</t>
        </is>
      </c>
      <c r="D680" s="84" t="n">
        <v>1090305</v>
      </c>
      <c r="E680" s="80" t="inlineStr">
        <is>
          <t>PERNO HEXAGONAL 3/8" X 2" G5</t>
        </is>
      </c>
      <c r="F680" s="67" t="inlineStr">
        <is>
          <t>UN</t>
        </is>
      </c>
      <c r="G680" s="84" t="n">
        <v>24</v>
      </c>
      <c r="H680" s="57" t="inlineStr"/>
      <c r="I680" s="139" t="n">
        <v>9.6</v>
      </c>
      <c r="J680" s="140" t="n">
        <v>3.275</v>
      </c>
      <c r="K680" s="86" t="inlineStr">
        <is>
          <t>PEN</t>
        </is>
      </c>
    </row>
    <row r="681">
      <c r="A681" s="84" t="n">
        <v>31012522</v>
      </c>
      <c r="B681" s="67" t="inlineStr">
        <is>
          <t>TPSU</t>
        </is>
      </c>
      <c r="C681" s="90" t="inlineStr">
        <is>
          <t>L001</t>
        </is>
      </c>
      <c r="D681" s="84" t="n">
        <v>1090305</v>
      </c>
      <c r="E681" s="80" t="inlineStr">
        <is>
          <t>PERNO HEXAGONAL 3/8" X 2" INOX.</t>
        </is>
      </c>
      <c r="F681" s="67" t="inlineStr">
        <is>
          <t>UN</t>
        </is>
      </c>
      <c r="G681" s="84" t="n">
        <v>24</v>
      </c>
      <c r="H681" s="57" t="inlineStr"/>
      <c r="I681" s="139" t="n">
        <v>19.79</v>
      </c>
      <c r="J681" s="140" t="n">
        <v>3.64</v>
      </c>
      <c r="K681" s="86" t="inlineStr">
        <is>
          <t>PEN</t>
        </is>
      </c>
    </row>
    <row r="682">
      <c r="A682" s="84" t="n">
        <v>31012761</v>
      </c>
      <c r="B682" s="67" t="inlineStr">
        <is>
          <t>TPSU</t>
        </is>
      </c>
      <c r="C682" s="90" t="inlineStr">
        <is>
          <t>L001</t>
        </is>
      </c>
      <c r="D682" s="84" t="n">
        <v>1090305</v>
      </c>
      <c r="E682" s="80" t="inlineStr">
        <is>
          <t>PERNO HEXAGONAL M12 X 30MM FEN.</t>
        </is>
      </c>
      <c r="F682" s="67" t="inlineStr">
        <is>
          <t>UN</t>
        </is>
      </c>
      <c r="G682" s="84" t="n">
        <v>18</v>
      </c>
      <c r="H682" s="57" t="inlineStr"/>
      <c r="I682" s="139" t="n">
        <v>8.1</v>
      </c>
      <c r="J682" s="140" t="n">
        <v>9.601739130434783</v>
      </c>
      <c r="K682" s="86" t="inlineStr">
        <is>
          <t>PEN</t>
        </is>
      </c>
    </row>
    <row r="683">
      <c r="A683" s="84" t="n">
        <v>31012853</v>
      </c>
      <c r="B683" s="67" t="inlineStr">
        <is>
          <t>TPSU</t>
        </is>
      </c>
      <c r="C683" s="90" t="inlineStr">
        <is>
          <t>L001</t>
        </is>
      </c>
      <c r="D683" s="84" t="n">
        <v>1090305</v>
      </c>
      <c r="E683" s="80" t="inlineStr">
        <is>
          <t>PERNO HILTI 3/8" X 3"</t>
        </is>
      </c>
      <c r="F683" s="67" t="inlineStr">
        <is>
          <t>UN</t>
        </is>
      </c>
      <c r="G683" s="84" t="n">
        <v>4</v>
      </c>
      <c r="H683" s="57" t="inlineStr"/>
      <c r="I683" s="139" t="n">
        <v>2.72</v>
      </c>
      <c r="J683" s="140" t="n">
        <v>8.412068965517241</v>
      </c>
      <c r="K683" s="86" t="inlineStr">
        <is>
          <t>PEN</t>
        </is>
      </c>
    </row>
    <row r="684">
      <c r="A684" s="84" t="n">
        <v>31012925</v>
      </c>
      <c r="B684" s="67" t="inlineStr">
        <is>
          <t>TPSU</t>
        </is>
      </c>
      <c r="C684" s="90" t="inlineStr">
        <is>
          <t>L001</t>
        </is>
      </c>
      <c r="D684" s="84" t="n">
        <v>1090305</v>
      </c>
      <c r="E684" s="80" t="inlineStr">
        <is>
          <t>PERNO SOCKET M12 X 40MM INOX.</t>
        </is>
      </c>
      <c r="F684" s="67" t="inlineStr">
        <is>
          <t>UN</t>
        </is>
      </c>
      <c r="G684" s="84" t="n">
        <v>3</v>
      </c>
      <c r="H684" s="57" t="inlineStr"/>
      <c r="I684" s="139" t="n">
        <v>7.8</v>
      </c>
      <c r="J684" s="140" t="n">
        <v>11.6</v>
      </c>
      <c r="K684" s="86" t="inlineStr">
        <is>
          <t>PEN</t>
        </is>
      </c>
    </row>
    <row r="685">
      <c r="A685" s="84" t="n">
        <v>31012971</v>
      </c>
      <c r="B685" s="67" t="inlineStr">
        <is>
          <t>TPSU</t>
        </is>
      </c>
      <c r="C685" s="90" t="inlineStr">
        <is>
          <t>L001</t>
        </is>
      </c>
      <c r="D685" s="84" t="n">
        <v>1090305</v>
      </c>
      <c r="E685" s="80" t="inlineStr">
        <is>
          <t>PERNO SOCKET(ALLEN) M10X50MM INOX.</t>
        </is>
      </c>
      <c r="F685" s="67" t="inlineStr">
        <is>
          <t>UN</t>
        </is>
      </c>
      <c r="G685" s="84" t="n">
        <v>10</v>
      </c>
      <c r="H685" s="57" t="inlineStr"/>
      <c r="I685" s="139" t="n">
        <v>26.6</v>
      </c>
      <c r="J685" s="140" t="n">
        <v>12.95</v>
      </c>
      <c r="K685" s="86" t="inlineStr">
        <is>
          <t>PEN</t>
        </is>
      </c>
    </row>
    <row r="686">
      <c r="A686" s="84" t="n">
        <v>31012334</v>
      </c>
      <c r="B686" s="67" t="inlineStr">
        <is>
          <t>TPSU</t>
        </is>
      </c>
      <c r="C686" s="90" t="inlineStr">
        <is>
          <t>L001</t>
        </is>
      </c>
      <c r="D686" s="84" t="n">
        <v>1090306</v>
      </c>
      <c r="E686" s="80" t="inlineStr">
        <is>
          <t>PERNO HEXAGONAL 1/2" X 1.1/2" G5</t>
        </is>
      </c>
      <c r="F686" s="67" t="inlineStr">
        <is>
          <t>UN</t>
        </is>
      </c>
      <c r="G686" s="84" t="n">
        <v>1259</v>
      </c>
      <c r="H686" s="57" t="inlineStr"/>
      <c r="I686" s="139" t="n">
        <v>577.58</v>
      </c>
      <c r="J686" s="140" t="n">
        <v>17.18714285714286</v>
      </c>
      <c r="K686" s="86" t="inlineStr">
        <is>
          <t>PEN</t>
        </is>
      </c>
    </row>
    <row r="687">
      <c r="A687" s="84" t="n">
        <v>31012337</v>
      </c>
      <c r="B687" s="67" t="inlineStr">
        <is>
          <t>TPSU</t>
        </is>
      </c>
      <c r="C687" s="90" t="inlineStr">
        <is>
          <t>L001</t>
        </is>
      </c>
      <c r="D687" s="84" t="n">
        <v>1090306</v>
      </c>
      <c r="E687" s="80" t="inlineStr">
        <is>
          <t>PERNO HEXAGONAL 1/2" X 1.1/2" INOX.</t>
        </is>
      </c>
      <c r="F687" s="67" t="inlineStr">
        <is>
          <t>UN</t>
        </is>
      </c>
      <c r="G687" s="84" t="n">
        <v>24</v>
      </c>
      <c r="H687" s="57" t="inlineStr"/>
      <c r="I687" s="139" t="n">
        <v>26.58</v>
      </c>
      <c r="J687" s="140" t="n">
        <v>165.36</v>
      </c>
      <c r="K687" s="86" t="inlineStr">
        <is>
          <t>PEN</t>
        </is>
      </c>
    </row>
    <row r="688">
      <c r="A688" s="84" t="n">
        <v>31012331</v>
      </c>
      <c r="B688" s="67" t="inlineStr">
        <is>
          <t>TPSU</t>
        </is>
      </c>
      <c r="C688" s="90" t="inlineStr">
        <is>
          <t>L001</t>
        </is>
      </c>
      <c r="D688" s="84" t="n">
        <v>1090306</v>
      </c>
      <c r="E688" s="141" t="inlineStr">
        <is>
          <t>PERNO HEXAGONAL 1/2" X 1" INOX.</t>
        </is>
      </c>
      <c r="F688" s="67" t="inlineStr">
        <is>
          <t>UN</t>
        </is>
      </c>
      <c r="G688" s="84" t="n">
        <v>35</v>
      </c>
      <c r="H688" s="57" t="inlineStr"/>
      <c r="I688" s="139" t="n">
        <v>39.71</v>
      </c>
      <c r="J688" s="140" t="n">
        <v>265</v>
      </c>
      <c r="K688" s="86" t="inlineStr">
        <is>
          <t>PEN</t>
        </is>
      </c>
    </row>
    <row r="689">
      <c r="A689" s="84" t="n">
        <v>31012344</v>
      </c>
      <c r="B689" s="67" t="inlineStr">
        <is>
          <t>TPSU</t>
        </is>
      </c>
      <c r="C689" s="90" t="inlineStr">
        <is>
          <t>L001</t>
        </is>
      </c>
      <c r="D689" s="84" t="n">
        <v>1090307</v>
      </c>
      <c r="E689" s="80" t="inlineStr">
        <is>
          <t>PERNO HEXAGONAL 1/2" X 2" FEN.</t>
        </is>
      </c>
      <c r="F689" s="67" t="inlineStr">
        <is>
          <t>UN</t>
        </is>
      </c>
      <c r="G689" s="84" t="n">
        <v>135</v>
      </c>
      <c r="H689" s="57" t="inlineStr"/>
      <c r="I689" s="139" t="n">
        <v>134.7</v>
      </c>
      <c r="J689" s="140" t="n">
        <v>43.73</v>
      </c>
      <c r="K689" s="86" t="inlineStr">
        <is>
          <t>PEN</t>
        </is>
      </c>
    </row>
    <row r="690">
      <c r="A690" s="84" t="n">
        <v>31015459</v>
      </c>
      <c r="B690" s="67" t="inlineStr">
        <is>
          <t>TPSU</t>
        </is>
      </c>
      <c r="C690" s="90" t="inlineStr">
        <is>
          <t>L001</t>
        </is>
      </c>
      <c r="D690" s="84" t="n">
        <v>1090307</v>
      </c>
      <c r="E690" s="80" t="inlineStr">
        <is>
          <t>PERNO HEXAGONAL 1/2" X 2" G5</t>
        </is>
      </c>
      <c r="F690" s="67" t="inlineStr">
        <is>
          <t>UN</t>
        </is>
      </c>
      <c r="G690" s="84" t="n">
        <v>259</v>
      </c>
      <c r="H690" s="57" t="inlineStr"/>
      <c r="I690" s="139" t="n">
        <v>210.95</v>
      </c>
      <c r="J690" s="140" t="n">
        <v>14.23</v>
      </c>
      <c r="K690" s="86" t="inlineStr">
        <is>
          <t>PEN</t>
        </is>
      </c>
    </row>
    <row r="691">
      <c r="A691" s="84" t="n">
        <v>31012348</v>
      </c>
      <c r="B691" s="82" t="inlineStr">
        <is>
          <t>TPSU</t>
        </is>
      </c>
      <c r="C691" s="82" t="inlineStr">
        <is>
          <t>L001</t>
        </is>
      </c>
      <c r="D691" s="84" t="n">
        <v>1090307</v>
      </c>
      <c r="E691" s="80" t="inlineStr">
        <is>
          <t>PERNO HEXAGONAL 1/2" X 2" INOX.</t>
        </is>
      </c>
      <c r="F691" s="67" t="inlineStr">
        <is>
          <t>UN</t>
        </is>
      </c>
      <c r="G691" s="84" t="n">
        <v>40</v>
      </c>
      <c r="H691" s="57" t="inlineStr"/>
      <c r="I691" s="139" t="n">
        <v>92.17</v>
      </c>
      <c r="J691" s="140" t="n">
        <v>54.45444444444444</v>
      </c>
      <c r="K691" s="86" t="inlineStr">
        <is>
          <t>PEN</t>
        </is>
      </c>
    </row>
    <row r="692">
      <c r="A692" s="84" t="n">
        <v>31012351</v>
      </c>
      <c r="B692" s="82" t="inlineStr">
        <is>
          <t>TPSU</t>
        </is>
      </c>
      <c r="C692" s="82" t="inlineStr">
        <is>
          <t>L001</t>
        </is>
      </c>
      <c r="D692" s="84" t="n">
        <v>1090308</v>
      </c>
      <c r="E692" s="80" t="inlineStr">
        <is>
          <t>PERNO HEXAGONAL 1/2" X 2.1/2" G5</t>
        </is>
      </c>
      <c r="F692" s="67" t="inlineStr">
        <is>
          <t>UN</t>
        </is>
      </c>
      <c r="G692" s="84" t="n">
        <v>26</v>
      </c>
      <c r="H692" s="57" t="inlineStr"/>
      <c r="I692" s="139" t="n">
        <v>17.45</v>
      </c>
      <c r="J692" s="140" t="n">
        <v>51.474</v>
      </c>
      <c r="K692" s="86" t="inlineStr">
        <is>
          <t>PEN</t>
        </is>
      </c>
    </row>
    <row r="693">
      <c r="A693" s="84" t="n">
        <v>31012354</v>
      </c>
      <c r="B693" s="82" t="inlineStr">
        <is>
          <t>TPSU</t>
        </is>
      </c>
      <c r="C693" s="82" t="inlineStr">
        <is>
          <t>L001</t>
        </is>
      </c>
      <c r="D693" s="84" t="n">
        <v>1090308</v>
      </c>
      <c r="E693" s="80" t="inlineStr">
        <is>
          <t>PERNO HEXAGONAL 1/2" X 2.1/2" INOX.</t>
        </is>
      </c>
      <c r="F693" s="67" t="inlineStr">
        <is>
          <t>UN</t>
        </is>
      </c>
      <c r="G693" s="84" t="n">
        <v>19</v>
      </c>
      <c r="H693" s="57" t="inlineStr"/>
      <c r="I693" s="139" t="n">
        <v>34.37</v>
      </c>
      <c r="J693" s="140" t="n">
        <v>12.81</v>
      </c>
      <c r="K693" s="86" t="inlineStr">
        <is>
          <t>PEN</t>
        </is>
      </c>
    </row>
    <row r="694">
      <c r="A694" s="84" t="n">
        <v>31012358</v>
      </c>
      <c r="B694" s="82" t="inlineStr">
        <is>
          <t>TPSU</t>
        </is>
      </c>
      <c r="C694" s="82" t="inlineStr">
        <is>
          <t>L001</t>
        </is>
      </c>
      <c r="D694" s="84" t="n">
        <v>1090308</v>
      </c>
      <c r="E694" s="80" t="inlineStr">
        <is>
          <t>PERNO HEXAGONAL 1/2" X 3" G5</t>
        </is>
      </c>
      <c r="F694" s="67" t="inlineStr">
        <is>
          <t>UN</t>
        </is>
      </c>
      <c r="G694" s="84" t="n">
        <v>12</v>
      </c>
      <c r="H694" s="57" t="inlineStr"/>
      <c r="I694" s="139" t="n">
        <v>11.28</v>
      </c>
      <c r="J694" s="140" t="n">
        <v>47.9</v>
      </c>
      <c r="K694" s="86" t="inlineStr">
        <is>
          <t>PEN</t>
        </is>
      </c>
    </row>
    <row r="695">
      <c r="A695" s="84" t="n">
        <v>31012360</v>
      </c>
      <c r="B695" s="82" t="inlineStr">
        <is>
          <t>TPSU</t>
        </is>
      </c>
      <c r="C695" s="82" t="inlineStr">
        <is>
          <t>L001</t>
        </is>
      </c>
      <c r="D695" s="84" t="n">
        <v>1090308</v>
      </c>
      <c r="E695" s="80" t="inlineStr">
        <is>
          <t>PERNO HEXAGONAL 1/2" X 3" INOX.</t>
        </is>
      </c>
      <c r="F695" s="67" t="inlineStr">
        <is>
          <t>UN</t>
        </is>
      </c>
      <c r="G695" s="84" t="n">
        <v>18</v>
      </c>
      <c r="H695" s="57" t="inlineStr"/>
      <c r="I695" s="139" t="n">
        <v>39.13</v>
      </c>
      <c r="J695" s="140" t="n">
        <v>29.36166666666666</v>
      </c>
      <c r="K695" s="86" t="inlineStr">
        <is>
          <t>PEN</t>
        </is>
      </c>
    </row>
    <row r="696">
      <c r="A696" s="84" t="n">
        <v>31012697</v>
      </c>
      <c r="B696" s="82" t="inlineStr">
        <is>
          <t>TPSU</t>
        </is>
      </c>
      <c r="C696" s="82" t="inlineStr">
        <is>
          <t>L001</t>
        </is>
      </c>
      <c r="D696" s="84" t="n">
        <v>1090309</v>
      </c>
      <c r="E696" s="80" t="inlineStr">
        <is>
          <t>PERNO HEXAGONAL 7/8" X 3" G5</t>
        </is>
      </c>
      <c r="F696" s="67" t="inlineStr">
        <is>
          <t>UN</t>
        </is>
      </c>
      <c r="G696" s="84" t="n">
        <v>52</v>
      </c>
      <c r="H696" s="57" t="inlineStr"/>
      <c r="I696" s="139" t="n">
        <v>164.82</v>
      </c>
      <c r="J696" s="140" t="n">
        <v>56.87941176470588</v>
      </c>
      <c r="K696" s="86" t="inlineStr">
        <is>
          <t>PEN</t>
        </is>
      </c>
    </row>
    <row r="697">
      <c r="A697" s="84" t="n">
        <v>31015269</v>
      </c>
      <c r="B697" s="82" t="inlineStr">
        <is>
          <t>TPSU</t>
        </is>
      </c>
      <c r="C697" s="82" t="inlineStr">
        <is>
          <t>L001</t>
        </is>
      </c>
      <c r="D697" s="84" t="n">
        <v>1090309</v>
      </c>
      <c r="E697" s="80" t="inlineStr">
        <is>
          <t>PERNO HEXAGONAL 7/8" X 4" G5</t>
        </is>
      </c>
      <c r="F697" s="67" t="inlineStr">
        <is>
          <t>UN</t>
        </is>
      </c>
      <c r="G697" s="84" t="n">
        <v>14</v>
      </c>
      <c r="H697" s="57" t="inlineStr"/>
      <c r="I697" s="139" t="n">
        <v>57.21</v>
      </c>
      <c r="J697" s="140" t="n">
        <v>11.34</v>
      </c>
      <c r="K697" s="86" t="inlineStr">
        <is>
          <t>PEN</t>
        </is>
      </c>
    </row>
    <row r="698">
      <c r="A698" s="84" t="n">
        <v>31012724</v>
      </c>
      <c r="B698" s="82" t="inlineStr">
        <is>
          <t>TPSU</t>
        </is>
      </c>
      <c r="C698" s="82" t="inlineStr">
        <is>
          <t>L001</t>
        </is>
      </c>
      <c r="D698" s="84" t="n">
        <v>1090309</v>
      </c>
      <c r="E698" s="80" t="inlineStr">
        <is>
          <t>PERNO HEXAGONAL 7/8" X 6 " G8</t>
        </is>
      </c>
      <c r="F698" s="67" t="inlineStr">
        <is>
          <t>UN</t>
        </is>
      </c>
      <c r="G698" s="84" t="n">
        <v>10</v>
      </c>
      <c r="H698" s="57" t="inlineStr"/>
      <c r="I698" s="139" t="n">
        <v>68</v>
      </c>
      <c r="J698" s="140" t="n">
        <v>13.99</v>
      </c>
      <c r="K698" s="86" t="inlineStr">
        <is>
          <t>PEN</t>
        </is>
      </c>
    </row>
    <row r="699">
      <c r="A699" s="84" t="n">
        <v>31012594</v>
      </c>
      <c r="B699" s="67" t="inlineStr">
        <is>
          <t>TPSU</t>
        </is>
      </c>
      <c r="C699" s="90" t="inlineStr">
        <is>
          <t>L001</t>
        </is>
      </c>
      <c r="D699" s="84" t="n">
        <v>1090403</v>
      </c>
      <c r="E699" s="80" t="inlineStr">
        <is>
          <t>PERNO HEXAGONAL 5/8" X 1 1/2" G5</t>
        </is>
      </c>
      <c r="F699" s="67" t="inlineStr">
        <is>
          <t>UN</t>
        </is>
      </c>
      <c r="G699" s="84" t="n">
        <v>13</v>
      </c>
      <c r="H699" s="57" t="inlineStr"/>
      <c r="I699" s="139" t="n">
        <v>12.61</v>
      </c>
      <c r="J699" s="140" t="n">
        <v>7.618</v>
      </c>
      <c r="K699" s="86" t="inlineStr">
        <is>
          <t>PEN</t>
        </is>
      </c>
    </row>
    <row r="700">
      <c r="A700" s="84" t="n">
        <v>31012611</v>
      </c>
      <c r="B700" s="67" t="inlineStr">
        <is>
          <t>TPSU</t>
        </is>
      </c>
      <c r="C700" s="90" t="inlineStr">
        <is>
          <t>L001</t>
        </is>
      </c>
      <c r="D700" s="84" t="n">
        <v>1090403</v>
      </c>
      <c r="E700" s="80" t="inlineStr">
        <is>
          <t>PERNO HEXAGONAL 5/8" X 2" INOX</t>
        </is>
      </c>
      <c r="F700" s="67" t="inlineStr">
        <is>
          <t>UN</t>
        </is>
      </c>
      <c r="G700" s="84" t="n">
        <v>22</v>
      </c>
      <c r="H700" s="57" t="inlineStr"/>
      <c r="I700" s="139" t="n">
        <v>57.81</v>
      </c>
      <c r="J700" s="140" t="n">
        <v>38.9</v>
      </c>
      <c r="K700" s="86" t="inlineStr">
        <is>
          <t>PEN</t>
        </is>
      </c>
    </row>
    <row r="701">
      <c r="A701" s="84" t="n">
        <v>31012615</v>
      </c>
      <c r="B701" s="67" t="inlineStr">
        <is>
          <t>TPSU</t>
        </is>
      </c>
      <c r="C701" s="90" t="inlineStr">
        <is>
          <t>L001</t>
        </is>
      </c>
      <c r="D701" s="84" t="n">
        <v>1090404</v>
      </c>
      <c r="E701" s="80" t="inlineStr">
        <is>
          <t>PERNO HEXAGONAL 5/8" X 2.1/2" G5</t>
        </is>
      </c>
      <c r="F701" s="67" t="inlineStr">
        <is>
          <t>UN</t>
        </is>
      </c>
      <c r="G701" s="84" t="n">
        <v>53</v>
      </c>
      <c r="H701" s="57" t="inlineStr"/>
      <c r="I701" s="139" t="n">
        <v>71.40000000000001</v>
      </c>
      <c r="J701" s="140" t="n">
        <v>811.6799999999999</v>
      </c>
      <c r="K701" s="86" t="inlineStr">
        <is>
          <t>PEN</t>
        </is>
      </c>
    </row>
    <row r="702">
      <c r="A702" s="84" t="n">
        <v>31012617</v>
      </c>
      <c r="B702" s="67" t="inlineStr">
        <is>
          <t>TPSU</t>
        </is>
      </c>
      <c r="C702" s="90" t="inlineStr">
        <is>
          <t>L001</t>
        </is>
      </c>
      <c r="D702" s="84" t="n">
        <v>1090404</v>
      </c>
      <c r="E702" s="80" t="inlineStr">
        <is>
          <t>PERNO HEXAGONAL 5/8" X 2.1/2" INOX.</t>
        </is>
      </c>
      <c r="F702" s="67" t="inlineStr">
        <is>
          <t>UN</t>
        </is>
      </c>
      <c r="G702" s="84" t="n">
        <v>18</v>
      </c>
      <c r="H702" s="57" t="inlineStr"/>
      <c r="I702" s="139" t="n">
        <v>66.06999999999999</v>
      </c>
      <c r="J702" s="140" t="n">
        <v>637.71</v>
      </c>
      <c r="K702" s="86" t="inlineStr">
        <is>
          <t>PEN</t>
        </is>
      </c>
    </row>
    <row r="703">
      <c r="A703" s="84" t="n">
        <v>31012624</v>
      </c>
      <c r="B703" s="67" t="inlineStr">
        <is>
          <t>TPSU</t>
        </is>
      </c>
      <c r="C703" s="90" t="inlineStr">
        <is>
          <t>L001</t>
        </is>
      </c>
      <c r="D703" s="84" t="n">
        <v>1090404</v>
      </c>
      <c r="E703" s="80" t="inlineStr">
        <is>
          <t>PERNO HEXAGONAL 5/8" X 3" G5</t>
        </is>
      </c>
      <c r="F703" s="67" t="inlineStr">
        <is>
          <t>UN</t>
        </is>
      </c>
      <c r="G703" s="84" t="n">
        <v>78</v>
      </c>
      <c r="H703" s="57" t="inlineStr"/>
      <c r="I703" s="139" t="n">
        <v>112.18</v>
      </c>
      <c r="J703" s="140" t="n">
        <v>186.75</v>
      </c>
      <c r="K703" s="86" t="inlineStr">
        <is>
          <t>PEN</t>
        </is>
      </c>
    </row>
    <row r="704">
      <c r="A704" s="84" t="n">
        <v>31012624</v>
      </c>
      <c r="B704" s="67" t="inlineStr">
        <is>
          <t>TPSU</t>
        </is>
      </c>
      <c r="C704" s="90" t="inlineStr">
        <is>
          <t>L001</t>
        </is>
      </c>
      <c r="D704" s="84" t="n">
        <v>1090404</v>
      </c>
      <c r="E704" s="80" t="inlineStr">
        <is>
          <t>PERNO HEXAGONAL 5/8" X 3" G5</t>
        </is>
      </c>
      <c r="F704" s="67" t="inlineStr">
        <is>
          <t>UN</t>
        </is>
      </c>
      <c r="G704" s="84" t="n">
        <v>8</v>
      </c>
      <c r="H704" s="57" t="inlineStr"/>
      <c r="I704" s="139" t="n">
        <v>8.640000000000001</v>
      </c>
      <c r="J704" s="140" t="n">
        <v>52.29</v>
      </c>
      <c r="K704" s="86" t="inlineStr">
        <is>
          <t>PEN</t>
        </is>
      </c>
    </row>
    <row r="705">
      <c r="A705" s="84" t="n">
        <v>31012630</v>
      </c>
      <c r="B705" s="67" t="inlineStr">
        <is>
          <t>TPSU</t>
        </is>
      </c>
      <c r="C705" s="90" t="inlineStr">
        <is>
          <t>L001</t>
        </is>
      </c>
      <c r="D705" s="84" t="n">
        <v>1090405</v>
      </c>
      <c r="E705" s="80" t="inlineStr">
        <is>
          <t>PERNO HEXAGONAL 5/8" X 3.1/2" G5</t>
        </is>
      </c>
      <c r="F705" s="67" t="inlineStr">
        <is>
          <t>UN</t>
        </is>
      </c>
      <c r="G705" s="84" t="n">
        <v>14</v>
      </c>
      <c r="H705" s="57" t="inlineStr"/>
      <c r="I705" s="139" t="n">
        <v>23.72</v>
      </c>
      <c r="J705" s="140" t="n">
        <v>74.73</v>
      </c>
      <c r="K705" s="86" t="inlineStr">
        <is>
          <t>PEN</t>
        </is>
      </c>
    </row>
    <row r="706">
      <c r="A706" s="84" t="n">
        <v>31012644</v>
      </c>
      <c r="B706" s="67" t="inlineStr">
        <is>
          <t>TPSU</t>
        </is>
      </c>
      <c r="C706" s="90" t="inlineStr">
        <is>
          <t>L001</t>
        </is>
      </c>
      <c r="D706" s="84" t="n">
        <v>1090405</v>
      </c>
      <c r="E706" s="141" t="inlineStr">
        <is>
          <t>PERNO HEXAGONAL 5/8" X 5 1/2 G5</t>
        </is>
      </c>
      <c r="F706" s="67" t="inlineStr">
        <is>
          <t>UN</t>
        </is>
      </c>
      <c r="G706" s="84" t="n">
        <v>20</v>
      </c>
      <c r="H706" s="57" t="inlineStr"/>
      <c r="I706" s="139" t="n">
        <v>53</v>
      </c>
      <c r="J706" s="140" t="n">
        <v>931.83</v>
      </c>
      <c r="K706" s="86" t="inlineStr">
        <is>
          <t>PEN</t>
        </is>
      </c>
    </row>
    <row r="707">
      <c r="A707" s="84" t="n">
        <v>31012453</v>
      </c>
      <c r="B707" s="67" t="inlineStr">
        <is>
          <t>TPSU</t>
        </is>
      </c>
      <c r="C707" s="90" t="inlineStr">
        <is>
          <t>L001</t>
        </is>
      </c>
      <c r="D707" s="84" t="n">
        <v>1090406</v>
      </c>
      <c r="E707" s="141" t="inlineStr">
        <is>
          <t>PERNO HEXAGONAL 3/4" X 3.1/2" G5</t>
        </is>
      </c>
      <c r="F707" s="67" t="inlineStr">
        <is>
          <t>UN</t>
        </is>
      </c>
      <c r="G707" s="84" t="n">
        <v>21</v>
      </c>
      <c r="H707" s="57" t="inlineStr"/>
      <c r="I707" s="139" t="n">
        <v>53.14</v>
      </c>
      <c r="J707" s="140" t="n">
        <v>13.82</v>
      </c>
      <c r="K707" s="86" t="inlineStr">
        <is>
          <t>PEN</t>
        </is>
      </c>
    </row>
    <row r="708">
      <c r="A708" s="84" t="n">
        <v>31012447</v>
      </c>
      <c r="B708" s="67" t="inlineStr">
        <is>
          <t>TPSU</t>
        </is>
      </c>
      <c r="C708" s="90" t="inlineStr">
        <is>
          <t>L001</t>
        </is>
      </c>
      <c r="D708" s="84" t="n">
        <v>1090406</v>
      </c>
      <c r="E708" s="80" t="inlineStr">
        <is>
          <t>PERNO HEXAGONAL 3/4" X 3" G5</t>
        </is>
      </c>
      <c r="F708" s="67" t="inlineStr">
        <is>
          <t>UN</t>
        </is>
      </c>
      <c r="G708" s="84" t="n">
        <v>51</v>
      </c>
      <c r="H708" s="57" t="inlineStr"/>
      <c r="I708" s="139" t="n">
        <v>136.53</v>
      </c>
      <c r="J708" s="140" t="n">
        <v>3.4875</v>
      </c>
      <c r="K708" s="86" t="inlineStr">
        <is>
          <t>PEN</t>
        </is>
      </c>
    </row>
    <row r="709">
      <c r="A709" s="84" t="n">
        <v>31012458</v>
      </c>
      <c r="B709" s="67" t="inlineStr">
        <is>
          <t>TPSU</t>
        </is>
      </c>
      <c r="C709" s="90" t="inlineStr">
        <is>
          <t>L001</t>
        </is>
      </c>
      <c r="D709" s="84" t="n">
        <v>1090407</v>
      </c>
      <c r="E709" s="80" t="inlineStr">
        <is>
          <t>PERNO HEXAGONAL 3/4" X 4"  INOX.</t>
        </is>
      </c>
      <c r="F709" s="67" t="inlineStr">
        <is>
          <t>UN</t>
        </is>
      </c>
      <c r="G709" s="84" t="n">
        <v>1</v>
      </c>
      <c r="H709" s="57" t="inlineStr"/>
      <c r="I709" s="139" t="n">
        <v>6.19</v>
      </c>
      <c r="J709" s="140" t="n">
        <v>6.2625</v>
      </c>
      <c r="K709" s="86" t="inlineStr">
        <is>
          <t>PEN</t>
        </is>
      </c>
    </row>
    <row r="710">
      <c r="A710" s="84" t="n">
        <v>31012459</v>
      </c>
      <c r="B710" s="67" t="inlineStr">
        <is>
          <t>TPSU</t>
        </is>
      </c>
      <c r="C710" s="90" t="inlineStr">
        <is>
          <t>L001</t>
        </is>
      </c>
      <c r="D710" s="84" t="n">
        <v>1090407</v>
      </c>
      <c r="E710" s="80" t="inlineStr">
        <is>
          <t>PERNO HEXAGONAL 3/4" X 4" FEN.</t>
        </is>
      </c>
      <c r="F710" s="67" t="inlineStr">
        <is>
          <t>UN</t>
        </is>
      </c>
      <c r="G710" s="84" t="n">
        <v>1</v>
      </c>
      <c r="H710" s="57" t="inlineStr"/>
      <c r="I710" s="139" t="n">
        <v>1.91</v>
      </c>
      <c r="J710" s="140" t="n">
        <v>4.465</v>
      </c>
      <c r="K710" s="86" t="inlineStr">
        <is>
          <t>PEN</t>
        </is>
      </c>
    </row>
    <row r="711">
      <c r="A711" s="84" t="n">
        <v>31012461</v>
      </c>
      <c r="B711" s="67" t="inlineStr">
        <is>
          <t>TPSU</t>
        </is>
      </c>
      <c r="C711" s="90" t="inlineStr">
        <is>
          <t>L001</t>
        </is>
      </c>
      <c r="D711" s="84" t="n">
        <v>1090407</v>
      </c>
      <c r="E711" s="80" t="inlineStr">
        <is>
          <t>PERNO HEXAGONAL 3/4" X 4" G5</t>
        </is>
      </c>
      <c r="F711" s="67" t="inlineStr">
        <is>
          <t>UN</t>
        </is>
      </c>
      <c r="G711" s="84" t="n">
        <v>24</v>
      </c>
      <c r="H711" s="57" t="inlineStr"/>
      <c r="I711" s="139" t="n">
        <v>68.34999999999999</v>
      </c>
      <c r="J711" s="140" t="n">
        <v>8.02</v>
      </c>
      <c r="K711" s="86" t="inlineStr">
        <is>
          <t>PEN</t>
        </is>
      </c>
    </row>
    <row r="712">
      <c r="A712" s="84" t="n">
        <v>31012470</v>
      </c>
      <c r="B712" s="67" t="inlineStr">
        <is>
          <t>TPSU</t>
        </is>
      </c>
      <c r="C712" s="90" t="inlineStr">
        <is>
          <t>L001</t>
        </is>
      </c>
      <c r="D712" s="84" t="n">
        <v>1090408</v>
      </c>
      <c r="E712" s="80" t="inlineStr">
        <is>
          <t>PERNO HEXAGONAL 3/4" X 5" G5</t>
        </is>
      </c>
      <c r="F712" s="67" t="inlineStr">
        <is>
          <t>UN</t>
        </is>
      </c>
      <c r="G712" s="84" t="n">
        <v>4</v>
      </c>
      <c r="H712" s="57" t="inlineStr"/>
      <c r="I712" s="139" t="n">
        <v>13.1</v>
      </c>
      <c r="J712" s="140" t="n">
        <v>13.81428571428571</v>
      </c>
      <c r="K712" s="86" t="inlineStr">
        <is>
          <t>PEN</t>
        </is>
      </c>
    </row>
    <row r="713">
      <c r="A713" s="84" t="n">
        <v>31012483</v>
      </c>
      <c r="B713" s="67" t="inlineStr">
        <is>
          <t>TPSU</t>
        </is>
      </c>
      <c r="C713" s="90" t="inlineStr">
        <is>
          <t>L001</t>
        </is>
      </c>
      <c r="D713" s="84" t="n">
        <v>1090408</v>
      </c>
      <c r="E713" s="80" t="inlineStr">
        <is>
          <t>PERNO HEXAGONAL 3/4" X 6" G5</t>
        </is>
      </c>
      <c r="F713" s="67" t="inlineStr">
        <is>
          <t>UN</t>
        </is>
      </c>
      <c r="G713" s="84" t="n">
        <v>12</v>
      </c>
      <c r="H713" s="57" t="inlineStr"/>
      <c r="I713" s="139" t="n">
        <v>43.68</v>
      </c>
      <c r="J713" s="140" t="n">
        <v>21.42142857142857</v>
      </c>
      <c r="K713" s="86" t="inlineStr">
        <is>
          <t>PEN</t>
        </is>
      </c>
    </row>
    <row r="714">
      <c r="A714" s="84" t="n">
        <v>31012485</v>
      </c>
      <c r="B714" s="67" t="inlineStr">
        <is>
          <t>TPSU</t>
        </is>
      </c>
      <c r="C714" s="90" t="inlineStr">
        <is>
          <t>L001</t>
        </is>
      </c>
      <c r="D714" s="84" t="n">
        <v>1090408</v>
      </c>
      <c r="E714" s="80" t="inlineStr">
        <is>
          <t>PERNO HEXAGONAL 3/4" X 6" INOX.</t>
        </is>
      </c>
      <c r="F714" s="67" t="inlineStr">
        <is>
          <t>UN</t>
        </is>
      </c>
      <c r="G714" s="84" t="n">
        <v>23</v>
      </c>
      <c r="H714" s="57" t="inlineStr"/>
      <c r="I714" s="139" t="n">
        <v>220.84</v>
      </c>
      <c r="J714" s="140" t="n">
        <v>44.03</v>
      </c>
      <c r="K714" s="86" t="inlineStr">
        <is>
          <t>PEN</t>
        </is>
      </c>
    </row>
    <row r="715">
      <c r="A715" s="84" t="n">
        <v>31012496</v>
      </c>
      <c r="B715" s="67" t="inlineStr">
        <is>
          <t>TPSU</t>
        </is>
      </c>
      <c r="C715" s="90" t="inlineStr">
        <is>
          <t>L001</t>
        </is>
      </c>
      <c r="D715" s="84" t="n">
        <v>1090408</v>
      </c>
      <c r="E715" s="80" t="inlineStr">
        <is>
          <t>PERNO HEXAGONAL 3/4"X 6" G5 HILO CORR</t>
        </is>
      </c>
      <c r="F715" s="67" t="inlineStr">
        <is>
          <t>UN</t>
        </is>
      </c>
      <c r="G715" s="84" t="n">
        <v>29</v>
      </c>
      <c r="H715" s="57" t="inlineStr"/>
      <c r="I715" s="139" t="n">
        <v>243.95</v>
      </c>
      <c r="J715" s="140" t="n">
        <v>14.87</v>
      </c>
      <c r="K715" s="86" t="inlineStr">
        <is>
          <t>PEN</t>
        </is>
      </c>
    </row>
    <row r="716">
      <c r="A716" s="84" t="n">
        <v>31012277</v>
      </c>
      <c r="B716" s="67" t="inlineStr">
        <is>
          <t>TPSU</t>
        </is>
      </c>
      <c r="C716" s="90" t="inlineStr">
        <is>
          <t>L001</t>
        </is>
      </c>
      <c r="D716" s="84" t="n">
        <v>1090409</v>
      </c>
      <c r="E716" s="80" t="inlineStr">
        <is>
          <t>PERNO HEXAGONAL 1" X 3.1/2" INOX.</t>
        </is>
      </c>
      <c r="F716" s="67" t="inlineStr">
        <is>
          <t>UN</t>
        </is>
      </c>
      <c r="G716" s="84" t="n">
        <v>6</v>
      </c>
      <c r="H716" s="57" t="inlineStr"/>
      <c r="I716" s="139" t="n">
        <v>69.59999999999999</v>
      </c>
      <c r="J716" s="140" t="n">
        <v>27.9</v>
      </c>
      <c r="K716" s="86" t="inlineStr">
        <is>
          <t>PEN</t>
        </is>
      </c>
    </row>
    <row r="717">
      <c r="A717" s="84" t="n">
        <v>31012282</v>
      </c>
      <c r="B717" s="67" t="inlineStr">
        <is>
          <t>TPSU</t>
        </is>
      </c>
      <c r="C717" s="90" t="inlineStr">
        <is>
          <t>L001</t>
        </is>
      </c>
      <c r="D717" s="84" t="n">
        <v>1090409</v>
      </c>
      <c r="E717" s="80" t="inlineStr">
        <is>
          <t>PERNO HEXAGONAL 1" X 4" INOX.</t>
        </is>
      </c>
      <c r="F717" s="67" t="inlineStr">
        <is>
          <t>UN</t>
        </is>
      </c>
      <c r="G717" s="84" t="n">
        <v>9</v>
      </c>
      <c r="H717" s="57" t="inlineStr"/>
      <c r="I717" s="139" t="n">
        <v>116.55</v>
      </c>
      <c r="J717" s="140" t="n">
        <v>84.95999999999999</v>
      </c>
      <c r="K717" s="86" t="inlineStr">
        <is>
          <t>PEN</t>
        </is>
      </c>
    </row>
    <row r="718">
      <c r="A718" s="84" t="n">
        <v>31015262</v>
      </c>
      <c r="B718" s="67" t="inlineStr">
        <is>
          <t>TPSU</t>
        </is>
      </c>
      <c r="C718" s="90" t="inlineStr">
        <is>
          <t>L001</t>
        </is>
      </c>
      <c r="D718" s="84" t="n">
        <v>1090409</v>
      </c>
      <c r="E718" s="80" t="inlineStr">
        <is>
          <t>PERNO HEXAGONAL 1" X 6" INOX.</t>
        </is>
      </c>
      <c r="F718" s="67" t="inlineStr">
        <is>
          <t>UN</t>
        </is>
      </c>
      <c r="G718" s="84" t="n">
        <v>7</v>
      </c>
      <c r="H718" s="57" t="inlineStr"/>
      <c r="I718" s="139" t="n">
        <v>120.31</v>
      </c>
      <c r="J718" s="140" t="n">
        <v>28.88</v>
      </c>
      <c r="K718" s="86" t="inlineStr">
        <is>
          <t>PEN</t>
        </is>
      </c>
    </row>
    <row r="719">
      <c r="A719" s="84" t="n">
        <v>33037053</v>
      </c>
      <c r="B719" s="67" t="inlineStr">
        <is>
          <t>TPSU</t>
        </is>
      </c>
      <c r="C719" s="90" t="inlineStr">
        <is>
          <t>L001</t>
        </is>
      </c>
      <c r="D719" s="84" t="n">
        <v>1090505</v>
      </c>
      <c r="E719" s="80" t="inlineStr">
        <is>
          <t>RIEL DIN INOX X 3MT UNISTRUT P4100</t>
        </is>
      </c>
      <c r="F719" s="67" t="inlineStr">
        <is>
          <t>UN</t>
        </is>
      </c>
      <c r="G719" s="84" t="n">
        <v>1</v>
      </c>
      <c r="H719" s="57" t="inlineStr"/>
      <c r="I719" s="139" t="n">
        <v>165.36</v>
      </c>
      <c r="J719" s="140" t="n">
        <v>0</v>
      </c>
      <c r="K719" s="86" t="inlineStr">
        <is>
          <t>PEN</t>
        </is>
      </c>
    </row>
    <row r="720">
      <c r="A720" s="84" t="n">
        <v>31010245</v>
      </c>
      <c r="B720" s="67" t="inlineStr">
        <is>
          <t>TPSU</t>
        </is>
      </c>
      <c r="C720" s="90" t="inlineStr">
        <is>
          <t>L001</t>
        </is>
      </c>
      <c r="D720" s="84" t="n">
        <v>1090805</v>
      </c>
      <c r="E720" s="80" t="inlineStr">
        <is>
          <t>ESPARRAGO 1.1/4"X 1 M INOX.</t>
        </is>
      </c>
      <c r="F720" s="67" t="inlineStr">
        <is>
          <t>UN</t>
        </is>
      </c>
      <c r="G720" s="84" t="n">
        <v>3</v>
      </c>
      <c r="H720" s="57" t="inlineStr"/>
      <c r="I720" s="139" t="n">
        <v>795</v>
      </c>
      <c r="J720" s="140" t="n">
        <v>282.17</v>
      </c>
      <c r="K720" s="86" t="inlineStr">
        <is>
          <t>PEN</t>
        </is>
      </c>
    </row>
    <row r="721">
      <c r="A721" s="84" t="n">
        <v>33029634</v>
      </c>
      <c r="B721" s="67" t="inlineStr">
        <is>
          <t>TPSU</t>
        </is>
      </c>
      <c r="C721" s="90" t="inlineStr">
        <is>
          <t>L001</t>
        </is>
      </c>
      <c r="D721" s="84" t="n">
        <v>1100101</v>
      </c>
      <c r="E721" s="80" t="inlineStr">
        <is>
          <t>ADAPT. HID. 90° M 1/4" NPT-M 1/4" NPT</t>
        </is>
      </c>
      <c r="F721" s="67" t="inlineStr">
        <is>
          <t>UN</t>
        </is>
      </c>
      <c r="G721" s="84" t="n">
        <v>3</v>
      </c>
      <c r="H721" s="57" t="inlineStr">
        <is>
          <t>0000003230</t>
        </is>
      </c>
      <c r="I721" s="139" t="n">
        <v>131.19</v>
      </c>
      <c r="J721" s="140" t="n">
        <v>197.2366666666667</v>
      </c>
      <c r="K721" s="86" t="inlineStr">
        <is>
          <t>PEN</t>
        </is>
      </c>
    </row>
    <row r="722">
      <c r="A722" s="84" t="n">
        <v>33029645</v>
      </c>
      <c r="B722" s="67" t="inlineStr">
        <is>
          <t>TPSU</t>
        </is>
      </c>
      <c r="C722" s="90" t="inlineStr">
        <is>
          <t>L001</t>
        </is>
      </c>
      <c r="D722" s="84" t="n">
        <v>1100101</v>
      </c>
      <c r="E722" s="80" t="inlineStr">
        <is>
          <t>ADAPT. HID. 90º H 1/2" NPT-H 1/2" NPS</t>
        </is>
      </c>
      <c r="F722" s="67" t="inlineStr">
        <is>
          <t>UN</t>
        </is>
      </c>
      <c r="G722" s="84" t="n">
        <v>1</v>
      </c>
      <c r="H722" s="57" t="inlineStr">
        <is>
          <t>0000002920</t>
        </is>
      </c>
      <c r="I722" s="139" t="n">
        <v>14.23</v>
      </c>
      <c r="J722" s="140" t="n">
        <v>6.475</v>
      </c>
      <c r="K722" s="86" t="inlineStr">
        <is>
          <t>PEN</t>
        </is>
      </c>
    </row>
    <row r="723">
      <c r="A723" s="84" t="n">
        <v>32004072</v>
      </c>
      <c r="B723" s="67" t="inlineStr">
        <is>
          <t>TPSU</t>
        </is>
      </c>
      <c r="C723" s="90" t="inlineStr">
        <is>
          <t>L001</t>
        </is>
      </c>
      <c r="D723" s="84" t="n">
        <v>1100102</v>
      </c>
      <c r="E723" s="80" t="inlineStr">
        <is>
          <t>CUCHILLO CARNICERO 12" M/BLCO TRAMONTI</t>
        </is>
      </c>
      <c r="F723" s="67" t="inlineStr">
        <is>
          <t>UN</t>
        </is>
      </c>
      <c r="G723" s="84" t="n">
        <v>9</v>
      </c>
      <c r="H723" s="57" t="inlineStr"/>
      <c r="I723" s="139" t="n">
        <v>490.09</v>
      </c>
      <c r="J723" s="140" t="n">
        <v>14.04733333333333</v>
      </c>
      <c r="K723" s="86" t="inlineStr">
        <is>
          <t>PEN</t>
        </is>
      </c>
    </row>
    <row r="724">
      <c r="A724" s="84" t="n">
        <v>32004077</v>
      </c>
      <c r="B724" s="67" t="inlineStr">
        <is>
          <t>TPSU</t>
        </is>
      </c>
      <c r="C724" s="90" t="inlineStr">
        <is>
          <t>L001</t>
        </is>
      </c>
      <c r="D724" s="84" t="n">
        <v>1100102</v>
      </c>
      <c r="E724" s="80" t="inlineStr">
        <is>
          <t>CUCHILLO COCINERO 12"MANGO POLIPROPILE</t>
        </is>
      </c>
      <c r="F724" s="67" t="inlineStr">
        <is>
          <t>UN</t>
        </is>
      </c>
      <c r="G724" s="84" t="n">
        <v>5</v>
      </c>
      <c r="H724" s="57" t="inlineStr"/>
      <c r="I724" s="139" t="n">
        <v>257.37</v>
      </c>
      <c r="J724" s="140" t="n">
        <v>127.555</v>
      </c>
      <c r="K724" s="86" t="inlineStr">
        <is>
          <t>PEN</t>
        </is>
      </c>
    </row>
    <row r="725">
      <c r="A725" s="84" t="n">
        <v>32004070</v>
      </c>
      <c r="B725" s="67" t="inlineStr">
        <is>
          <t>TPSU</t>
        </is>
      </c>
      <c r="C725" s="90" t="inlineStr">
        <is>
          <t>L001</t>
        </is>
      </c>
      <c r="D725" s="84" t="n">
        <v>1100103</v>
      </c>
      <c r="E725" s="80" t="inlineStr">
        <is>
          <t>CUCHILLA P/LICUADORA</t>
        </is>
      </c>
      <c r="F725" s="67" t="inlineStr">
        <is>
          <t>UN</t>
        </is>
      </c>
      <c r="G725" s="84" t="n">
        <v>1</v>
      </c>
      <c r="H725" s="57" t="inlineStr"/>
      <c r="I725" s="139" t="n">
        <v>12.81</v>
      </c>
      <c r="J725" s="140" t="n">
        <v>6.144545454545455</v>
      </c>
      <c r="K725" s="86" t="inlineStr">
        <is>
          <t>PEN</t>
        </is>
      </c>
    </row>
    <row r="726">
      <c r="A726" s="84" t="n">
        <v>32005169</v>
      </c>
      <c r="B726" s="82" t="inlineStr">
        <is>
          <t>TPSU</t>
        </is>
      </c>
      <c r="C726" s="82" t="inlineStr">
        <is>
          <t>L001</t>
        </is>
      </c>
      <c r="D726" s="84" t="n">
        <v>1100103</v>
      </c>
      <c r="E726" s="80" t="inlineStr">
        <is>
          <t>TABLA PICAR(40X30X2.5CM)BLANCO H8918 900</t>
        </is>
      </c>
      <c r="F726" s="67" t="inlineStr">
        <is>
          <t>UN</t>
        </is>
      </c>
      <c r="G726" s="84" t="n">
        <v>2</v>
      </c>
      <c r="H726" s="57" t="inlineStr"/>
      <c r="I726" s="139" t="n">
        <v>95.8</v>
      </c>
      <c r="J726" s="140" t="n">
        <v>2.04</v>
      </c>
      <c r="K726" s="86" t="inlineStr">
        <is>
          <t>PEN</t>
        </is>
      </c>
    </row>
    <row r="727">
      <c r="A727" s="84" t="n">
        <v>33031008</v>
      </c>
      <c r="B727" s="82" t="inlineStr">
        <is>
          <t>TPSU</t>
        </is>
      </c>
      <c r="C727" s="82" t="inlineStr">
        <is>
          <t>L001</t>
        </is>
      </c>
      <c r="D727" s="84" t="n">
        <v>1100104</v>
      </c>
      <c r="E727" s="80" t="inlineStr">
        <is>
          <t>CASCO + ESPIGA  M 1" NPT R12</t>
        </is>
      </c>
      <c r="F727" s="67" t="inlineStr">
        <is>
          <t>UN</t>
        </is>
      </c>
      <c r="G727" s="84" t="n">
        <v>6</v>
      </c>
      <c r="H727" s="57" t="inlineStr">
        <is>
          <t>NUEVO</t>
        </is>
      </c>
      <c r="I727" s="139" t="n">
        <v>176.17</v>
      </c>
      <c r="J727" s="140" t="n">
        <v>3.06</v>
      </c>
      <c r="K727" s="86" t="inlineStr">
        <is>
          <t>PEN</t>
        </is>
      </c>
    </row>
    <row r="728">
      <c r="A728" s="84" t="n">
        <v>33034669</v>
      </c>
      <c r="B728" s="82" t="inlineStr">
        <is>
          <t>TPSU</t>
        </is>
      </c>
      <c r="C728" s="82" t="inlineStr">
        <is>
          <t>L001</t>
        </is>
      </c>
      <c r="D728" s="84" t="n">
        <v>1100104</v>
      </c>
      <c r="E728" s="80" t="inlineStr">
        <is>
          <t>MANG. HID. 1'' SAE 100R12</t>
        </is>
      </c>
      <c r="F728" s="67" t="inlineStr">
        <is>
          <t>M</t>
        </is>
      </c>
      <c r="G728" s="84" t="n">
        <v>3.4</v>
      </c>
      <c r="H728" s="57" t="inlineStr">
        <is>
          <t>0000003281</t>
        </is>
      </c>
      <c r="I728" s="139" t="n">
        <v>193.39</v>
      </c>
      <c r="J728" s="140" t="n">
        <v>3.196666666666667</v>
      </c>
      <c r="K728" s="86" t="inlineStr">
        <is>
          <t>PEN</t>
        </is>
      </c>
    </row>
    <row r="729">
      <c r="A729" s="84" t="n">
        <v>33029676</v>
      </c>
      <c r="B729" s="82" t="inlineStr">
        <is>
          <t>TPSU</t>
        </is>
      </c>
      <c r="C729" s="82" t="inlineStr">
        <is>
          <t>L001</t>
        </is>
      </c>
      <c r="D729" s="84" t="n">
        <v>1100201</v>
      </c>
      <c r="E729" s="80" t="inlineStr">
        <is>
          <t>ADAPT. HID. 90º M 3/8" NPT-H 1/2" NPS</t>
        </is>
      </c>
      <c r="F729" s="67" t="inlineStr">
        <is>
          <t>UN</t>
        </is>
      </c>
      <c r="G729" s="84" t="n">
        <v>2</v>
      </c>
      <c r="H729" s="57" t="inlineStr">
        <is>
          <t>0000002967</t>
        </is>
      </c>
      <c r="I729" s="139" t="n">
        <v>22.68</v>
      </c>
      <c r="J729" s="140" t="n">
        <v>9.330232558139535</v>
      </c>
      <c r="K729" s="86" t="inlineStr">
        <is>
          <t>PEN</t>
        </is>
      </c>
    </row>
    <row r="730">
      <c r="A730" s="84" t="n">
        <v>33029732</v>
      </c>
      <c r="B730" s="82" t="inlineStr">
        <is>
          <t>TPSU</t>
        </is>
      </c>
      <c r="C730" s="82" t="inlineStr">
        <is>
          <t>L001</t>
        </is>
      </c>
      <c r="D730" s="84" t="n">
        <v>1100201</v>
      </c>
      <c r="E730" s="80" t="inlineStr">
        <is>
          <t>ADAPT. HID.RECTO H 3/4" NPT-H 3/4"NPS</t>
        </is>
      </c>
      <c r="F730" s="67" t="inlineStr">
        <is>
          <t>UN</t>
        </is>
      </c>
      <c r="G730" s="84" t="n">
        <v>1</v>
      </c>
      <c r="H730" s="57" t="inlineStr">
        <is>
          <t>0000003034</t>
        </is>
      </c>
      <c r="I730" s="139" t="n">
        <v>13.99</v>
      </c>
      <c r="J730" s="140" t="n">
        <v>19.25</v>
      </c>
      <c r="K730" s="86" t="inlineStr">
        <is>
          <t>PEN</t>
        </is>
      </c>
    </row>
    <row r="731">
      <c r="A731" s="84" t="n">
        <v>33029781</v>
      </c>
      <c r="B731" s="82" t="inlineStr">
        <is>
          <t>TPSU</t>
        </is>
      </c>
      <c r="C731" s="82" t="inlineStr">
        <is>
          <t>L001</t>
        </is>
      </c>
      <c r="D731" s="84" t="n">
        <v>1100201</v>
      </c>
      <c r="E731" s="80" t="inlineStr">
        <is>
          <t>ADAPT. HID.RECTO M 3/8" NPT-H 1/2" NP</t>
        </is>
      </c>
      <c r="F731" s="67" t="inlineStr">
        <is>
          <t>UN</t>
        </is>
      </c>
      <c r="G731" s="84" t="n">
        <v>5</v>
      </c>
      <c r="H731" s="57" t="inlineStr">
        <is>
          <t>0000003102</t>
        </is>
      </c>
      <c r="I731" s="139" t="n">
        <v>38.09</v>
      </c>
      <c r="J731" s="140" t="n">
        <v>731.95</v>
      </c>
      <c r="K731" s="86" t="inlineStr">
        <is>
          <t>PEN</t>
        </is>
      </c>
    </row>
    <row r="732">
      <c r="A732" s="84" t="n">
        <v>32004076</v>
      </c>
      <c r="B732" s="82" t="inlineStr">
        <is>
          <t>TPSU</t>
        </is>
      </c>
      <c r="C732" s="82" t="inlineStr">
        <is>
          <t>L001</t>
        </is>
      </c>
      <c r="D732" s="84" t="n">
        <v>1100202</v>
      </c>
      <c r="E732" s="80" t="inlineStr">
        <is>
          <t>CUCHILLO COCINERO 10"MANGO POLIPROPILE</t>
        </is>
      </c>
      <c r="F732" s="67" t="inlineStr">
        <is>
          <t>UN</t>
        </is>
      </c>
      <c r="G732" s="84" t="n">
        <v>1</v>
      </c>
      <c r="H732" s="57" t="inlineStr"/>
      <c r="I732" s="139" t="n">
        <v>38.9</v>
      </c>
      <c r="J732" s="140" t="n">
        <v>148.968</v>
      </c>
      <c r="K732" s="86" t="inlineStr">
        <is>
          <t>PEN</t>
        </is>
      </c>
    </row>
    <row r="733">
      <c r="A733" s="84" t="n">
        <v>33035092</v>
      </c>
      <c r="B733" s="67" t="inlineStr">
        <is>
          <t>TPSU</t>
        </is>
      </c>
      <c r="C733" s="90" t="inlineStr">
        <is>
          <t>L001</t>
        </is>
      </c>
      <c r="D733" s="84" t="n">
        <v>1100202</v>
      </c>
      <c r="E733" s="80" t="inlineStr">
        <is>
          <t>MICROFONO DM-2003 P/INTERCOM LH-3000</t>
        </is>
      </c>
      <c r="F733" s="67" t="inlineStr">
        <is>
          <t>UN</t>
        </is>
      </c>
      <c r="G733" s="84" t="n">
        <v>1</v>
      </c>
      <c r="H733" s="57" t="inlineStr"/>
      <c r="I733" s="139" t="n">
        <v>811.6799999999999</v>
      </c>
      <c r="J733" s="140" t="n">
        <v>405.33</v>
      </c>
      <c r="K733" s="86" t="inlineStr">
        <is>
          <t>PEN</t>
        </is>
      </c>
    </row>
    <row r="734">
      <c r="A734" s="84" t="n">
        <v>33035094</v>
      </c>
      <c r="B734" s="67" t="inlineStr">
        <is>
          <t>TPSU</t>
        </is>
      </c>
      <c r="C734" s="90" t="inlineStr">
        <is>
          <t>L001</t>
        </is>
      </c>
      <c r="D734" s="84" t="n">
        <v>1100202</v>
      </c>
      <c r="E734" s="80" t="inlineStr">
        <is>
          <t>MICROFONO P/RADIO HF FURUNO FS-1503</t>
        </is>
      </c>
      <c r="F734" s="67" t="inlineStr">
        <is>
          <t>UN</t>
        </is>
      </c>
      <c r="G734" s="84" t="n">
        <v>1</v>
      </c>
      <c r="H734" s="57" t="inlineStr"/>
      <c r="I734" s="139" t="n">
        <v>637.71</v>
      </c>
      <c r="J734" s="140" t="n">
        <v>325.97</v>
      </c>
      <c r="K734" s="86" t="inlineStr">
        <is>
          <t>PEN</t>
        </is>
      </c>
    </row>
    <row r="735">
      <c r="A735" s="84" t="n">
        <v>34007798</v>
      </c>
      <c r="B735" s="67" t="inlineStr">
        <is>
          <t>TPSU</t>
        </is>
      </c>
      <c r="C735" s="90" t="inlineStr">
        <is>
          <t>L001</t>
        </is>
      </c>
      <c r="D735" s="84" t="n">
        <v>1100203</v>
      </c>
      <c r="E735" s="80" t="inlineStr">
        <is>
          <t>KIT MANG. 1/2-4M-R2 CTX13597</t>
        </is>
      </c>
      <c r="F735" s="67" t="inlineStr">
        <is>
          <t>JGO</t>
        </is>
      </c>
      <c r="G735" s="84" t="n">
        <v>1</v>
      </c>
      <c r="H735" s="57" t="inlineStr"/>
      <c r="I735" s="139" t="n">
        <v>186.75</v>
      </c>
      <c r="J735" s="140" t="n">
        <v>88.35454545454546</v>
      </c>
      <c r="K735" s="86" t="inlineStr">
        <is>
          <t>PEN</t>
        </is>
      </c>
    </row>
    <row r="736">
      <c r="A736" s="84" t="n">
        <v>33034688</v>
      </c>
      <c r="B736" s="67" t="inlineStr">
        <is>
          <t>TPSU</t>
        </is>
      </c>
      <c r="C736" s="90" t="inlineStr">
        <is>
          <t>L001</t>
        </is>
      </c>
      <c r="D736" s="84" t="n">
        <v>1100203</v>
      </c>
      <c r="E736" s="80" t="inlineStr">
        <is>
          <t>MANG. JEBE Y LONA 1"</t>
        </is>
      </c>
      <c r="F736" s="67" t="inlineStr">
        <is>
          <t>M</t>
        </is>
      </c>
      <c r="G736" s="84" t="n">
        <v>1</v>
      </c>
      <c r="H736" s="57" t="inlineStr">
        <is>
          <t>G4-823964</t>
        </is>
      </c>
      <c r="I736" s="139" t="n">
        <v>52.29</v>
      </c>
      <c r="J736" s="140" t="n">
        <v>244.81</v>
      </c>
      <c r="K736" s="86" t="inlineStr">
        <is>
          <t>PEN</t>
        </is>
      </c>
    </row>
    <row r="737">
      <c r="A737" s="84" t="n">
        <v>31008447</v>
      </c>
      <c r="B737" s="67" t="inlineStr">
        <is>
          <t>TPSU</t>
        </is>
      </c>
      <c r="C737" s="90" t="inlineStr">
        <is>
          <t>L001</t>
        </is>
      </c>
      <c r="D737" s="84" t="n">
        <v>1100204</v>
      </c>
      <c r="E737" s="80" t="inlineStr">
        <is>
          <t>ANILLA T/ARGOLLA INOX. 3/4” X 4”</t>
        </is>
      </c>
      <c r="F737" s="67" t="inlineStr">
        <is>
          <t>UN</t>
        </is>
      </c>
      <c r="G737" s="84" t="n">
        <v>6</v>
      </c>
      <c r="H737" s="57" t="inlineStr"/>
      <c r="I737" s="139" t="n">
        <v>448.38</v>
      </c>
      <c r="J737" s="140" t="n">
        <v>0</v>
      </c>
      <c r="K737" s="86" t="inlineStr">
        <is>
          <t>PEN</t>
        </is>
      </c>
    </row>
    <row r="738">
      <c r="A738" s="84" t="n">
        <v>33033282</v>
      </c>
      <c r="B738" s="67" t="inlineStr">
        <is>
          <t>TPSU</t>
        </is>
      </c>
      <c r="C738" s="90" t="inlineStr">
        <is>
          <t>L001</t>
        </is>
      </c>
      <c r="D738" s="84" t="n">
        <v>1100204</v>
      </c>
      <c r="E738" s="80" t="inlineStr">
        <is>
          <t>FOLLOWER MP-3549</t>
        </is>
      </c>
      <c r="F738" s="67" t="inlineStr">
        <is>
          <t>UN</t>
        </is>
      </c>
      <c r="G738" s="84" t="n">
        <v>2</v>
      </c>
      <c r="H738" s="57" t="inlineStr"/>
      <c r="I738" s="139" t="n">
        <v>1863.66</v>
      </c>
      <c r="J738" s="140" t="n">
        <v>1.715</v>
      </c>
      <c r="K738" s="86" t="inlineStr">
        <is>
          <t>PEN</t>
        </is>
      </c>
    </row>
    <row r="739">
      <c r="A739" s="84" t="n">
        <v>33031009</v>
      </c>
      <c r="B739" s="67" t="inlineStr">
        <is>
          <t>TPSU</t>
        </is>
      </c>
      <c r="C739" s="90" t="inlineStr">
        <is>
          <t>L001</t>
        </is>
      </c>
      <c r="D739" s="84" t="n">
        <v>1100205</v>
      </c>
      <c r="E739" s="80" t="inlineStr">
        <is>
          <t>CASCO + ESPIGA  M 3/4" NPT R2</t>
        </is>
      </c>
      <c r="F739" s="67" t="inlineStr">
        <is>
          <t>UN</t>
        </is>
      </c>
      <c r="G739" s="84" t="n">
        <v>2</v>
      </c>
      <c r="H739" s="57" t="inlineStr">
        <is>
          <t>NUEVO</t>
        </is>
      </c>
      <c r="I739" s="139" t="n">
        <v>27.64</v>
      </c>
      <c r="J739" s="140" t="n">
        <v>3.1</v>
      </c>
      <c r="K739" s="86" t="inlineStr">
        <is>
          <t>PEN</t>
        </is>
      </c>
    </row>
    <row r="740">
      <c r="A740" s="84" t="n">
        <v>33031018</v>
      </c>
      <c r="B740" s="67" t="inlineStr">
        <is>
          <t>TPSU</t>
        </is>
      </c>
      <c r="C740" s="90" t="inlineStr">
        <is>
          <t>L001</t>
        </is>
      </c>
      <c r="D740" s="84" t="n">
        <v>1100205</v>
      </c>
      <c r="E740" s="80" t="inlineStr">
        <is>
          <t>CASCO PRENSABLE 1/2" R2</t>
        </is>
      </c>
      <c r="F740" s="67" t="inlineStr">
        <is>
          <t>UN</t>
        </is>
      </c>
      <c r="G740" s="84" t="n">
        <v>4</v>
      </c>
      <c r="H740" s="57" t="inlineStr">
        <is>
          <t>0000003248</t>
        </is>
      </c>
      <c r="I740" s="139" t="n">
        <v>13.95</v>
      </c>
      <c r="J740" s="140" t="n">
        <v>239.79</v>
      </c>
      <c r="K740" s="86" t="inlineStr">
        <is>
          <t>PEN</t>
        </is>
      </c>
    </row>
    <row r="741">
      <c r="A741" s="84" t="n">
        <v>33040301</v>
      </c>
      <c r="B741" s="67" t="inlineStr">
        <is>
          <t>TPSU</t>
        </is>
      </c>
      <c r="C741" s="90" t="inlineStr">
        <is>
          <t>L001</t>
        </is>
      </c>
      <c r="D741" s="84" t="n">
        <v>1100205</v>
      </c>
      <c r="E741" s="80" t="inlineStr">
        <is>
          <t>CASCO PRENSABLE 3/4" R2 AC3</t>
        </is>
      </c>
      <c r="F741" s="67" t="inlineStr">
        <is>
          <t>UN</t>
        </is>
      </c>
      <c r="G741" s="84" t="n">
        <v>4</v>
      </c>
      <c r="H741" s="57" t="inlineStr">
        <is>
          <t>0000002652</t>
        </is>
      </c>
      <c r="I741" s="139" t="n">
        <v>25.05</v>
      </c>
      <c r="J741" s="140" t="n">
        <v>75</v>
      </c>
      <c r="K741" s="86" t="inlineStr">
        <is>
          <t>PEN</t>
        </is>
      </c>
    </row>
    <row r="742">
      <c r="A742" s="84" t="n">
        <v>33032328</v>
      </c>
      <c r="B742" s="67" t="inlineStr">
        <is>
          <t>TPSU</t>
        </is>
      </c>
      <c r="C742" s="90" t="inlineStr">
        <is>
          <t>L001</t>
        </is>
      </c>
      <c r="D742" s="84" t="n">
        <v>1100205</v>
      </c>
      <c r="E742" s="80" t="inlineStr">
        <is>
          <t>ESPIGA PRENSABLE M 1/2" NPT R2</t>
        </is>
      </c>
      <c r="F742" s="67" t="inlineStr">
        <is>
          <t>UN</t>
        </is>
      </c>
      <c r="G742" s="84" t="n">
        <v>2</v>
      </c>
      <c r="H742" s="57" t="inlineStr">
        <is>
          <t>0000002799</t>
        </is>
      </c>
      <c r="I742" s="139" t="n">
        <v>8.93</v>
      </c>
      <c r="J742" s="140" t="n">
        <v>1.85</v>
      </c>
      <c r="K742" s="86" t="inlineStr">
        <is>
          <t>PEN</t>
        </is>
      </c>
    </row>
    <row r="743">
      <c r="A743" s="84" t="n">
        <v>33032331</v>
      </c>
      <c r="B743" s="67" t="inlineStr">
        <is>
          <t>TPSU</t>
        </is>
      </c>
      <c r="C743" s="90" t="inlineStr">
        <is>
          <t>L001</t>
        </is>
      </c>
      <c r="D743" s="84" t="n">
        <v>1100205</v>
      </c>
      <c r="E743" s="80" t="inlineStr">
        <is>
          <t>ESPIGA PRENSABLE M 3/4" NPT R2</t>
        </is>
      </c>
      <c r="F743" s="67" t="inlineStr">
        <is>
          <t>UN</t>
        </is>
      </c>
      <c r="G743" s="84" t="n">
        <v>4</v>
      </c>
      <c r="H743" s="57" t="inlineStr">
        <is>
          <t>0000002815</t>
        </is>
      </c>
      <c r="I743" s="139" t="n">
        <v>32.08</v>
      </c>
      <c r="J743" s="140" t="n">
        <v>10.02714285714286</v>
      </c>
      <c r="K743" s="86" t="inlineStr">
        <is>
          <t>PEN</t>
        </is>
      </c>
    </row>
    <row r="744">
      <c r="A744" s="84" t="n">
        <v>33034667</v>
      </c>
      <c r="B744" s="67" t="inlineStr">
        <is>
          <t>TPSU</t>
        </is>
      </c>
      <c r="C744" s="90" t="inlineStr">
        <is>
          <t>L001</t>
        </is>
      </c>
      <c r="D744" s="84" t="n">
        <v>1100205</v>
      </c>
      <c r="E744" s="80" t="inlineStr">
        <is>
          <t>MANG. HID. 1/2'' SAE 100R2</t>
        </is>
      </c>
      <c r="F744" s="67" t="inlineStr">
        <is>
          <t>M</t>
        </is>
      </c>
      <c r="G744" s="84" t="n">
        <v>2.8</v>
      </c>
      <c r="H744" s="57" t="inlineStr">
        <is>
          <t>0000003274</t>
        </is>
      </c>
      <c r="I744" s="139" t="n">
        <v>38.68</v>
      </c>
      <c r="J744" s="140" t="n">
        <v>30.025</v>
      </c>
      <c r="K744" s="86" t="inlineStr">
        <is>
          <t>PEN</t>
        </is>
      </c>
    </row>
    <row r="745">
      <c r="A745" s="84" t="n">
        <v>33034675</v>
      </c>
      <c r="B745" s="67" t="inlineStr">
        <is>
          <t>TPSU</t>
        </is>
      </c>
      <c r="C745" s="90" t="inlineStr">
        <is>
          <t>L001</t>
        </is>
      </c>
      <c r="D745" s="84" t="n">
        <v>1100205</v>
      </c>
      <c r="E745" s="80" t="inlineStr">
        <is>
          <t>MANG. HID. 3/4'' SAE 100R2</t>
        </is>
      </c>
      <c r="F745" s="67" t="inlineStr">
        <is>
          <t>M</t>
        </is>
      </c>
      <c r="G745" s="84" t="n">
        <v>7</v>
      </c>
      <c r="H745" s="57" t="inlineStr">
        <is>
          <t>0000003309</t>
        </is>
      </c>
      <c r="I745" s="139" t="n">
        <v>149.95</v>
      </c>
      <c r="J745" s="140" t="n">
        <v>2.19</v>
      </c>
      <c r="K745" s="86" t="inlineStr">
        <is>
          <t>PEN</t>
        </is>
      </c>
    </row>
    <row r="746">
      <c r="A746" s="84" t="n">
        <v>33029669</v>
      </c>
      <c r="B746" s="67" t="inlineStr">
        <is>
          <t>TPSU</t>
        </is>
      </c>
      <c r="C746" s="90" t="inlineStr">
        <is>
          <t>L001</t>
        </is>
      </c>
      <c r="D746" s="84" t="n">
        <v>1100301</v>
      </c>
      <c r="E746" s="80" t="inlineStr">
        <is>
          <t>ADAPT. HID. 90º M 3/4" NPT-H 1" NPS</t>
        </is>
      </c>
      <c r="F746" s="67" t="inlineStr">
        <is>
          <t>UN</t>
        </is>
      </c>
      <c r="G746" s="84" t="n">
        <v>2</v>
      </c>
      <c r="H746" s="57" t="inlineStr">
        <is>
          <t>0000002958</t>
        </is>
      </c>
      <c r="I746" s="139" t="n">
        <v>88.06</v>
      </c>
      <c r="J746" s="140" t="n">
        <v>2.1</v>
      </c>
      <c r="K746" s="86" t="inlineStr">
        <is>
          <t>PEN</t>
        </is>
      </c>
    </row>
    <row r="747">
      <c r="A747" s="84" t="n">
        <v>33029670</v>
      </c>
      <c r="B747" s="67" t="inlineStr">
        <is>
          <t>TPSU</t>
        </is>
      </c>
      <c r="C747" s="90" t="inlineStr">
        <is>
          <t>L001</t>
        </is>
      </c>
      <c r="D747" s="84" t="n">
        <v>1100301</v>
      </c>
      <c r="E747" s="80" t="inlineStr">
        <is>
          <t>ADAPT. HID. 90º M 3/4" NPT-H 3/4" NPS</t>
        </is>
      </c>
      <c r="F747" s="67" t="inlineStr">
        <is>
          <t>UN</t>
        </is>
      </c>
      <c r="G747" s="84" t="n">
        <v>1</v>
      </c>
      <c r="H747" s="57" t="inlineStr">
        <is>
          <t>0000002960</t>
        </is>
      </c>
      <c r="I747" s="139" t="n">
        <v>14.87</v>
      </c>
      <c r="J747" s="140" t="n">
        <v>7</v>
      </c>
      <c r="K747" s="86" t="inlineStr">
        <is>
          <t>PEN</t>
        </is>
      </c>
    </row>
    <row r="748">
      <c r="A748" s="84" t="n">
        <v>32004074</v>
      </c>
      <c r="B748" s="67" t="inlineStr">
        <is>
          <t>TPSU</t>
        </is>
      </c>
      <c r="C748" s="90" t="inlineStr">
        <is>
          <t>L001</t>
        </is>
      </c>
      <c r="D748" s="84" t="n">
        <v>1100302</v>
      </c>
      <c r="E748" s="80" t="inlineStr">
        <is>
          <t>CUCHILLO CARNICERO 8" M/BLCO TRAMONTIN</t>
        </is>
      </c>
      <c r="F748" s="67" t="inlineStr">
        <is>
          <t>UN</t>
        </is>
      </c>
      <c r="G748" s="84" t="n">
        <v>10</v>
      </c>
      <c r="H748" s="57" t="inlineStr"/>
      <c r="I748" s="139" t="n">
        <v>279</v>
      </c>
      <c r="J748" s="140" t="n">
        <v>205</v>
      </c>
      <c r="K748" s="86" t="inlineStr">
        <is>
          <t>PEN</t>
        </is>
      </c>
    </row>
    <row r="749">
      <c r="A749" s="84" t="n">
        <v>34007571</v>
      </c>
      <c r="B749" s="67" t="inlineStr">
        <is>
          <t>TPSU</t>
        </is>
      </c>
      <c r="C749" s="90" t="inlineStr">
        <is>
          <t>L001</t>
        </is>
      </c>
      <c r="D749" s="84" t="n">
        <v>1100303</v>
      </c>
      <c r="E749" s="80" t="inlineStr">
        <is>
          <t>KIT MANG. 1/2-1.2M-R2 CTX13793</t>
        </is>
      </c>
      <c r="F749" s="67" t="inlineStr">
        <is>
          <t>JGO</t>
        </is>
      </c>
      <c r="G749" s="84" t="n">
        <v>1</v>
      </c>
      <c r="H749" s="57" t="inlineStr"/>
      <c r="I749" s="139" t="n">
        <v>84.95999999999999</v>
      </c>
      <c r="J749" s="140" t="n">
        <v>49</v>
      </c>
      <c r="K749" s="86" t="inlineStr">
        <is>
          <t>PEN</t>
        </is>
      </c>
    </row>
    <row r="750">
      <c r="A750" s="84" t="n">
        <v>33034693</v>
      </c>
      <c r="B750" s="67" t="inlineStr">
        <is>
          <t>TPSU</t>
        </is>
      </c>
      <c r="C750" s="90" t="inlineStr">
        <is>
          <t>L001</t>
        </is>
      </c>
      <c r="D750" s="84" t="n">
        <v>1100303</v>
      </c>
      <c r="E750" s="80" t="inlineStr">
        <is>
          <t>MANG. JEBE Y LONA 1.1/2" 150PSI</t>
        </is>
      </c>
      <c r="F750" s="67" t="inlineStr">
        <is>
          <t>M</t>
        </is>
      </c>
      <c r="G750" s="84" t="n">
        <v>1</v>
      </c>
      <c r="H750" s="57" t="inlineStr"/>
      <c r="I750" s="139" t="n">
        <v>28.88</v>
      </c>
      <c r="J750" s="140" t="n">
        <v>76.59999999999999</v>
      </c>
      <c r="K750" s="86" t="inlineStr">
        <is>
          <t>PEN</t>
        </is>
      </c>
    </row>
    <row r="751">
      <c r="A751" s="84" t="n">
        <v>34007714</v>
      </c>
      <c r="B751" s="84" t="inlineStr">
        <is>
          <t>TPSU</t>
        </is>
      </c>
      <c r="C751" s="91" t="inlineStr">
        <is>
          <t>L001</t>
        </is>
      </c>
      <c r="D751" s="84" t="n">
        <v>1100304</v>
      </c>
      <c r="E751" s="80" t="inlineStr">
        <is>
          <t>MOTON SIMPLE FE OVAL P/CABLE T8 CGG</t>
        </is>
      </c>
      <c r="F751" s="67" t="inlineStr">
        <is>
          <t>UN</t>
        </is>
      </c>
      <c r="G751" s="84" t="n">
        <v>1</v>
      </c>
      <c r="H751" s="84" t="inlineStr">
        <is>
          <t>0016</t>
        </is>
      </c>
      <c r="I751" s="139" t="n">
        <v>0</v>
      </c>
      <c r="J751" s="140" t="n">
        <v>91.90000000000001</v>
      </c>
      <c r="K751" s="86" t="inlineStr">
        <is>
          <t>PEN</t>
        </is>
      </c>
    </row>
    <row r="752">
      <c r="A752" s="84" t="n">
        <v>31008452</v>
      </c>
      <c r="B752" s="67" t="inlineStr">
        <is>
          <t>TPSU</t>
        </is>
      </c>
      <c r="C752" s="90" t="inlineStr">
        <is>
          <t>L001</t>
        </is>
      </c>
      <c r="D752" s="84" t="n">
        <v>1100305</v>
      </c>
      <c r="E752" s="80" t="inlineStr">
        <is>
          <t>ANILLA T/ESTRIBO INOX. 6" X 1.1/8"</t>
        </is>
      </c>
      <c r="F752" s="67" t="inlineStr">
        <is>
          <t>UN</t>
        </is>
      </c>
      <c r="G752" s="84" t="n">
        <v>2</v>
      </c>
      <c r="H752" s="57" t="inlineStr"/>
      <c r="I752" s="139" t="n">
        <v>564.34</v>
      </c>
      <c r="J752" s="140" t="n">
        <v>49.235</v>
      </c>
      <c r="K752" s="86" t="inlineStr">
        <is>
          <t>PEN</t>
        </is>
      </c>
    </row>
    <row r="753">
      <c r="A753" s="84" t="n">
        <v>31008451</v>
      </c>
      <c r="B753" s="67" t="inlineStr">
        <is>
          <t>TPSU</t>
        </is>
      </c>
      <c r="C753" s="90" t="inlineStr">
        <is>
          <t>L001</t>
        </is>
      </c>
      <c r="D753" s="84" t="n">
        <v>1100305</v>
      </c>
      <c r="E753" s="80" t="inlineStr">
        <is>
          <t>ANILLA T/ESTRIBO INOX. 6" X 1"</t>
        </is>
      </c>
      <c r="F753" s="67" t="inlineStr">
        <is>
          <t>UN</t>
        </is>
      </c>
      <c r="G753" s="84" t="n">
        <v>3</v>
      </c>
      <c r="H753" s="57" t="inlineStr"/>
      <c r="I753" s="139" t="n">
        <v>591.71</v>
      </c>
      <c r="J753" s="140" t="n">
        <v>49</v>
      </c>
      <c r="K753" s="86" t="inlineStr">
        <is>
          <t>PEN</t>
        </is>
      </c>
    </row>
    <row r="754">
      <c r="A754" s="84" t="n">
        <v>33031013</v>
      </c>
      <c r="B754" s="67" t="inlineStr">
        <is>
          <t>TPSU</t>
        </is>
      </c>
      <c r="C754" s="90" t="inlineStr">
        <is>
          <t>L001</t>
        </is>
      </c>
      <c r="D754" s="84" t="n">
        <v>1100305</v>
      </c>
      <c r="E754" s="80" t="inlineStr">
        <is>
          <t>CASCO + ESPIGA M 3/8" NPT</t>
        </is>
      </c>
      <c r="F754" s="67" t="inlineStr">
        <is>
          <t>UN</t>
        </is>
      </c>
      <c r="G754" s="84" t="n">
        <v>2</v>
      </c>
      <c r="H754" s="57" t="inlineStr">
        <is>
          <t>NUEVO</t>
        </is>
      </c>
      <c r="I754" s="139" t="n">
        <v>12.95</v>
      </c>
      <c r="J754" s="140" t="n">
        <v>49</v>
      </c>
      <c r="K754" s="86" t="inlineStr">
        <is>
          <t>PEN</t>
        </is>
      </c>
    </row>
    <row r="755">
      <c r="A755" s="84" t="n">
        <v>33034677</v>
      </c>
      <c r="B755" s="67" t="inlineStr">
        <is>
          <t>TPSU</t>
        </is>
      </c>
      <c r="C755" s="90" t="inlineStr">
        <is>
          <t>L001</t>
        </is>
      </c>
      <c r="D755" s="84" t="n">
        <v>1100305</v>
      </c>
      <c r="E755" s="80" t="inlineStr">
        <is>
          <t>MANG. HID. 3/8'' SAE 100R2</t>
        </is>
      </c>
      <c r="F755" s="67" t="inlineStr">
        <is>
          <t>M</t>
        </is>
      </c>
      <c r="G755" s="84" t="n">
        <v>15</v>
      </c>
      <c r="H755" s="57" t="inlineStr">
        <is>
          <t>0000002728</t>
        </is>
      </c>
      <c r="I755" s="139" t="n">
        <v>210.71</v>
      </c>
      <c r="J755" s="140" t="n">
        <v>70.745</v>
      </c>
      <c r="K755" s="86" t="inlineStr">
        <is>
          <t>PEN</t>
        </is>
      </c>
    </row>
    <row r="756">
      <c r="A756" s="84" t="n">
        <v>34007572</v>
      </c>
      <c r="B756" s="67" t="inlineStr">
        <is>
          <t>TPSU</t>
        </is>
      </c>
      <c r="C756" s="90" t="inlineStr">
        <is>
          <t>L001</t>
        </is>
      </c>
      <c r="D756" s="84" t="n">
        <v>1100401</v>
      </c>
      <c r="E756" s="80" t="inlineStr">
        <is>
          <t>KIT MANG. 3/4-1.5M-R2 CTX50006</t>
        </is>
      </c>
      <c r="F756" s="67" t="inlineStr">
        <is>
          <t>JGO</t>
        </is>
      </c>
      <c r="G756" s="84" t="n">
        <v>2</v>
      </c>
      <c r="H756" s="57" t="inlineStr"/>
      <c r="I756" s="139" t="n">
        <v>255.11</v>
      </c>
      <c r="J756" s="140" t="n">
        <v>78.23999999999999</v>
      </c>
      <c r="K756" s="86" t="inlineStr">
        <is>
          <t>PEN</t>
        </is>
      </c>
    </row>
    <row r="757">
      <c r="A757" s="84" t="n">
        <v>33034699</v>
      </c>
      <c r="B757" s="67" t="inlineStr">
        <is>
          <t>TPSU</t>
        </is>
      </c>
      <c r="C757" s="90" t="inlineStr">
        <is>
          <t>L001</t>
        </is>
      </c>
      <c r="D757" s="84" t="n">
        <v>1100401</v>
      </c>
      <c r="E757" s="80" t="inlineStr">
        <is>
          <t>MANG. JEBE Y LONA 1/2" 150PSI</t>
        </is>
      </c>
      <c r="F757" s="67" t="inlineStr">
        <is>
          <t>M</t>
        </is>
      </c>
      <c r="G757" s="84" t="n">
        <v>11</v>
      </c>
      <c r="H757" s="57" t="inlineStr"/>
      <c r="I757" s="139" t="n">
        <v>67.59</v>
      </c>
      <c r="J757" s="140" t="n">
        <v>80.79000000000001</v>
      </c>
      <c r="K757" s="86" t="inlineStr">
        <is>
          <t>PEN</t>
        </is>
      </c>
    </row>
    <row r="758">
      <c r="A758" s="84" t="n">
        <v>33040300</v>
      </c>
      <c r="B758" s="67" t="inlineStr">
        <is>
          <t>TPSU</t>
        </is>
      </c>
      <c r="C758" s="90" t="inlineStr">
        <is>
          <t>L001</t>
        </is>
      </c>
      <c r="D758" s="84" t="n">
        <v>1100403</v>
      </c>
      <c r="E758" s="80" t="inlineStr">
        <is>
          <t>CASCO PRENSABLE 1/4" R2 AC3</t>
        </is>
      </c>
      <c r="F758" s="67" t="inlineStr">
        <is>
          <t>UN</t>
        </is>
      </c>
      <c r="G758" s="84" t="n">
        <v>4</v>
      </c>
      <c r="H758" s="57" t="inlineStr">
        <is>
          <t>0000002648</t>
        </is>
      </c>
      <c r="I758" s="139" t="n">
        <v>8.16</v>
      </c>
      <c r="J758" s="140" t="n">
        <v>86.48</v>
      </c>
      <c r="K758" s="86" t="inlineStr">
        <is>
          <t>PEN</t>
        </is>
      </c>
    </row>
    <row r="759">
      <c r="A759" s="84" t="n">
        <v>33032303</v>
      </c>
      <c r="B759" s="67" t="inlineStr">
        <is>
          <t>TPSU</t>
        </is>
      </c>
      <c r="C759" s="90" t="inlineStr">
        <is>
          <t>L001</t>
        </is>
      </c>
      <c r="D759" s="84" t="n">
        <v>1100403</v>
      </c>
      <c r="E759" s="80" t="inlineStr">
        <is>
          <t>ESPIGA PRENSABLE GIRATORIO H  1/4" JIC</t>
        </is>
      </c>
      <c r="F759" s="67" t="inlineStr">
        <is>
          <t>UN</t>
        </is>
      </c>
      <c r="G759" s="84" t="n">
        <v>2</v>
      </c>
      <c r="H759" s="57" t="inlineStr">
        <is>
          <t>0000002776</t>
        </is>
      </c>
      <c r="I759" s="139" t="n">
        <v>6.12</v>
      </c>
      <c r="J759" s="140" t="n">
        <v>85.26000000000001</v>
      </c>
      <c r="K759" s="86" t="inlineStr">
        <is>
          <t>PEN</t>
        </is>
      </c>
    </row>
    <row r="760">
      <c r="A760" s="84" t="n">
        <v>33032330</v>
      </c>
      <c r="B760" s="67" t="inlineStr">
        <is>
          <t>TPSU</t>
        </is>
      </c>
      <c r="C760" s="90" t="inlineStr">
        <is>
          <t>L001</t>
        </is>
      </c>
      <c r="D760" s="84" t="n">
        <v>1100403</v>
      </c>
      <c r="E760" s="80" t="inlineStr">
        <is>
          <t>ESPIGA PRENSABLE M 1/4" NPT R2</t>
        </is>
      </c>
      <c r="F760" s="67" t="inlineStr">
        <is>
          <t>UN</t>
        </is>
      </c>
      <c r="G760" s="84" t="n">
        <v>3</v>
      </c>
      <c r="H760" s="57" t="inlineStr">
        <is>
          <t>0000002808</t>
        </is>
      </c>
      <c r="I760" s="139" t="n">
        <v>9.59</v>
      </c>
      <c r="J760" s="140" t="n">
        <v>89.90000000000001</v>
      </c>
      <c r="K760" s="86" t="inlineStr">
        <is>
          <t>PEN</t>
        </is>
      </c>
    </row>
    <row r="761">
      <c r="A761" s="84" t="n">
        <v>33034673</v>
      </c>
      <c r="B761" s="67" t="inlineStr">
        <is>
          <t>TPSU</t>
        </is>
      </c>
      <c r="C761" s="90" t="inlineStr">
        <is>
          <t>L001</t>
        </is>
      </c>
      <c r="D761" s="84" t="n">
        <v>1100403</v>
      </c>
      <c r="E761" s="80" t="inlineStr">
        <is>
          <t>MANG. HID. 1/4'' SAE 100R1</t>
        </is>
      </c>
      <c r="F761" s="67" t="inlineStr">
        <is>
          <t>M</t>
        </is>
      </c>
      <c r="G761" s="84" t="n">
        <v>4.3</v>
      </c>
      <c r="H761" s="57" t="inlineStr">
        <is>
          <t>0000003302</t>
        </is>
      </c>
      <c r="I761" s="139" t="n">
        <v>40.12</v>
      </c>
      <c r="J761" s="140" t="n">
        <v>71.27</v>
      </c>
      <c r="K761" s="86" t="inlineStr">
        <is>
          <t>PEN</t>
        </is>
      </c>
    </row>
    <row r="762">
      <c r="A762" s="84" t="n">
        <v>31010761</v>
      </c>
      <c r="B762" s="67" t="inlineStr">
        <is>
          <t>TPSU</t>
        </is>
      </c>
      <c r="C762" s="90" t="inlineStr">
        <is>
          <t>L001</t>
        </is>
      </c>
      <c r="D762" s="84" t="n">
        <v>1100404</v>
      </c>
      <c r="E762" s="80" t="inlineStr">
        <is>
          <t>GARRUCHA FIJA 6" GALV.</t>
        </is>
      </c>
      <c r="F762" s="67" t="inlineStr">
        <is>
          <t>UN</t>
        </is>
      </c>
      <c r="G762" s="84" t="n">
        <v>2</v>
      </c>
      <c r="H762" s="57" t="inlineStr"/>
      <c r="I762" s="139" t="n">
        <v>38.5</v>
      </c>
      <c r="J762" s="140" t="n">
        <v>72.874</v>
      </c>
      <c r="K762" s="86" t="inlineStr">
        <is>
          <t>PEN</t>
        </is>
      </c>
    </row>
    <row r="763">
      <c r="A763" s="84" t="n">
        <v>34007821</v>
      </c>
      <c r="B763" s="67" t="inlineStr">
        <is>
          <t>TPSU</t>
        </is>
      </c>
      <c r="C763" s="90" t="inlineStr">
        <is>
          <t>L001</t>
        </is>
      </c>
      <c r="D763" s="84" t="n">
        <v>1100405</v>
      </c>
      <c r="E763" s="80" t="inlineStr">
        <is>
          <t>KIT MANG.1 1/4-3.5M-R12 CTX17652</t>
        </is>
      </c>
      <c r="F763" s="67" t="inlineStr">
        <is>
          <t>JGO</t>
        </is>
      </c>
      <c r="G763" s="84" t="n">
        <v>2</v>
      </c>
      <c r="H763" s="57" t="inlineStr"/>
      <c r="I763" s="139" t="n">
        <v>1463.9</v>
      </c>
      <c r="J763" s="140" t="n">
        <v>72.52</v>
      </c>
      <c r="K763" s="86" t="inlineStr">
        <is>
          <t>PEN</t>
        </is>
      </c>
    </row>
    <row r="764">
      <c r="A764" s="84" t="n">
        <v>31010864</v>
      </c>
      <c r="B764" s="67" t="inlineStr">
        <is>
          <t>TPSU</t>
        </is>
      </c>
      <c r="C764" s="90" t="inlineStr">
        <is>
          <t>L001</t>
        </is>
      </c>
      <c r="D764" s="84" t="n">
        <v>1100504</v>
      </c>
      <c r="E764" s="80" t="inlineStr">
        <is>
          <t>GRILLETE 1.1/4"  GALV. T/LIRA</t>
        </is>
      </c>
      <c r="F764" s="67" t="inlineStr">
        <is>
          <t>UN</t>
        </is>
      </c>
      <c r="G764" s="84" t="n">
        <v>5</v>
      </c>
      <c r="H764" s="57" t="inlineStr"/>
      <c r="I764" s="139" t="n">
        <v>744.84</v>
      </c>
      <c r="J764" s="140" t="n">
        <v>71.40000000000001</v>
      </c>
      <c r="K764" s="86" t="inlineStr">
        <is>
          <t>PEN</t>
        </is>
      </c>
    </row>
    <row r="765">
      <c r="A765" s="84" t="n">
        <v>33036553</v>
      </c>
      <c r="B765" s="67" t="inlineStr">
        <is>
          <t>TPSU</t>
        </is>
      </c>
      <c r="C765" s="90" t="inlineStr">
        <is>
          <t>L001</t>
        </is>
      </c>
      <c r="D765" s="84" t="n">
        <v>1100602</v>
      </c>
      <c r="E765" s="80" t="inlineStr">
        <is>
          <t>RESORTE WS-254 SST 4.5MM</t>
        </is>
      </c>
      <c r="F765" s="67" t="inlineStr">
        <is>
          <t>UN</t>
        </is>
      </c>
      <c r="G765" s="84" t="n">
        <v>1</v>
      </c>
      <c r="H765" s="57" t="inlineStr"/>
      <c r="I765" s="139" t="n">
        <v>405.33</v>
      </c>
      <c r="J765" s="140" t="n">
        <v>75.67</v>
      </c>
      <c r="K765" s="86" t="inlineStr">
        <is>
          <t>PEN</t>
        </is>
      </c>
    </row>
    <row r="766">
      <c r="A766" s="84" t="n">
        <v>34002924</v>
      </c>
      <c r="B766" s="67" t="inlineStr">
        <is>
          <t>TPSU</t>
        </is>
      </c>
      <c r="C766" s="90" t="inlineStr">
        <is>
          <t>L001</t>
        </is>
      </c>
      <c r="D766" s="84" t="n">
        <v>1100603</v>
      </c>
      <c r="E766" s="80" t="inlineStr">
        <is>
          <t>MOTON SIMPLE MADERA NO. 12</t>
        </is>
      </c>
      <c r="F766" s="67" t="inlineStr">
        <is>
          <t>UN</t>
        </is>
      </c>
      <c r="G766" s="84" t="n">
        <v>1</v>
      </c>
      <c r="H766" s="57" t="inlineStr">
        <is>
          <t>NUEVO</t>
        </is>
      </c>
      <c r="I766" s="139" t="n">
        <v>325.97</v>
      </c>
      <c r="J766" s="140" t="n">
        <v>71.40000000000001</v>
      </c>
      <c r="K766" s="86" t="inlineStr">
        <is>
          <t>PEN</t>
        </is>
      </c>
    </row>
    <row r="767">
      <c r="A767" s="84" t="n">
        <v>31010859</v>
      </c>
      <c r="B767" s="67" t="inlineStr">
        <is>
          <t>TPSU</t>
        </is>
      </c>
      <c r="C767" s="90" t="inlineStr">
        <is>
          <t>L001</t>
        </is>
      </c>
      <c r="D767" s="84" t="n">
        <v>1100604</v>
      </c>
      <c r="E767" s="80" t="inlineStr">
        <is>
          <t>GRILLETE 1"GALV. T/LIRA</t>
        </is>
      </c>
      <c r="F767" s="67" t="inlineStr">
        <is>
          <t>UN</t>
        </is>
      </c>
      <c r="G767" s="84" t="n">
        <v>11</v>
      </c>
      <c r="H767" s="57" t="inlineStr"/>
      <c r="I767" s="139" t="n">
        <v>971.9</v>
      </c>
      <c r="J767" s="140" t="n">
        <v>58.03333333333333</v>
      </c>
      <c r="K767" s="86" t="inlineStr">
        <is>
          <t>PEN</t>
        </is>
      </c>
    </row>
    <row r="768">
      <c r="A768" s="84" t="n">
        <v>31010900</v>
      </c>
      <c r="B768" s="67" t="inlineStr">
        <is>
          <t>TPSU</t>
        </is>
      </c>
      <c r="C768" s="90" t="inlineStr">
        <is>
          <t>L001</t>
        </is>
      </c>
      <c r="D768" s="84" t="n">
        <v>1100604</v>
      </c>
      <c r="E768" s="80" t="inlineStr">
        <is>
          <t>GRILLETE 7/8" AC. G2 T/U</t>
        </is>
      </c>
      <c r="F768" s="67" t="inlineStr">
        <is>
          <t>UN</t>
        </is>
      </c>
      <c r="G768" s="84" t="n">
        <v>1</v>
      </c>
      <c r="H768" s="57" t="inlineStr"/>
      <c r="I768" s="139" t="n">
        <v>244.81</v>
      </c>
      <c r="J768" s="140" t="n">
        <v>58.03333333333333</v>
      </c>
      <c r="K768" s="86" t="inlineStr">
        <is>
          <t>PEN</t>
        </is>
      </c>
    </row>
    <row r="769">
      <c r="A769" s="84" t="n">
        <v>31008620</v>
      </c>
      <c r="B769" s="84" t="inlineStr">
        <is>
          <t>TPSU</t>
        </is>
      </c>
      <c r="C769" s="91" t="inlineStr">
        <is>
          <t>L001</t>
        </is>
      </c>
      <c r="D769" s="84" t="n">
        <v>1100605</v>
      </c>
      <c r="E769" s="80" t="inlineStr">
        <is>
          <t>ARGOLLON 1.1/8" X 10" INOX.</t>
        </is>
      </c>
      <c r="F769" s="67" t="inlineStr">
        <is>
          <t>UN</t>
        </is>
      </c>
      <c r="G769" s="84" t="n">
        <v>1</v>
      </c>
      <c r="H769" s="84" t="inlineStr">
        <is>
          <t>NUEVO</t>
        </is>
      </c>
      <c r="I769" s="139" t="n">
        <v>0</v>
      </c>
      <c r="J769" s="140" t="n">
        <v>61.73333333333333</v>
      </c>
      <c r="K769" s="86" t="inlineStr">
        <is>
          <t>PEN</t>
        </is>
      </c>
    </row>
    <row r="770">
      <c r="A770" s="84" t="n">
        <v>32004060</v>
      </c>
      <c r="B770" s="67" t="inlineStr">
        <is>
          <t>TPSU</t>
        </is>
      </c>
      <c r="C770" s="90" t="inlineStr">
        <is>
          <t>L001</t>
        </is>
      </c>
      <c r="D770" s="84" t="n">
        <v>1100702</v>
      </c>
      <c r="E770" s="80" t="inlineStr">
        <is>
          <t>CUCHARITA TE MOD.510-4 HOTELERO FACUSA</t>
        </is>
      </c>
      <c r="F770" s="67" t="inlineStr">
        <is>
          <t>UN</t>
        </is>
      </c>
      <c r="G770" s="84" t="n">
        <v>2</v>
      </c>
      <c r="H770" s="57" t="inlineStr"/>
      <c r="I770" s="139" t="n">
        <v>3.43</v>
      </c>
      <c r="J770" s="140" t="n">
        <v>72.92</v>
      </c>
      <c r="K770" s="86" t="inlineStr">
        <is>
          <t>PEN</t>
        </is>
      </c>
    </row>
    <row r="771">
      <c r="A771" s="84" t="n">
        <v>32004079</v>
      </c>
      <c r="B771" s="67" t="inlineStr">
        <is>
          <t>TPSU</t>
        </is>
      </c>
      <c r="C771" s="90" t="inlineStr">
        <is>
          <t>L001</t>
        </is>
      </c>
      <c r="D771" s="84" t="n">
        <v>1100702</v>
      </c>
      <c r="E771" s="80" t="inlineStr">
        <is>
          <t>CUCHILLO MESA MOD.510-3 HOTELERO FACUSA</t>
        </is>
      </c>
      <c r="F771" s="67" t="inlineStr">
        <is>
          <t>UN</t>
        </is>
      </c>
      <c r="G771" s="84" t="n">
        <v>2</v>
      </c>
      <c r="H771" s="57" t="inlineStr"/>
      <c r="I771" s="139" t="n">
        <v>6.2</v>
      </c>
      <c r="J771" s="140" t="n">
        <v>76.965</v>
      </c>
      <c r="K771" s="86" t="inlineStr">
        <is>
          <t>PEN</t>
        </is>
      </c>
    </row>
    <row r="772">
      <c r="A772" s="84" t="n">
        <v>34002921</v>
      </c>
      <c r="B772" s="67" t="inlineStr">
        <is>
          <t>TPSU</t>
        </is>
      </c>
      <c r="C772" s="90" t="inlineStr">
        <is>
          <t>L001</t>
        </is>
      </c>
      <c r="D772" s="84" t="n">
        <v>1100703</v>
      </c>
      <c r="E772" s="80" t="inlineStr">
        <is>
          <t>MOTON DOBLE MADERA NO. 8</t>
        </is>
      </c>
      <c r="F772" s="67" t="inlineStr">
        <is>
          <t>UN</t>
        </is>
      </c>
      <c r="G772" s="84" t="n">
        <v>1</v>
      </c>
      <c r="H772" s="57" t="inlineStr">
        <is>
          <t>NUEVO</t>
        </is>
      </c>
      <c r="I772" s="139" t="n">
        <v>239.79</v>
      </c>
      <c r="J772" s="140" t="n">
        <v>75.07428571428571</v>
      </c>
      <c r="K772" s="86" t="inlineStr">
        <is>
          <t>PEN</t>
        </is>
      </c>
    </row>
    <row r="773">
      <c r="A773" s="84" t="n">
        <v>34002535</v>
      </c>
      <c r="B773" s="67" t="inlineStr">
        <is>
          <t>TPSU</t>
        </is>
      </c>
      <c r="C773" s="90" t="inlineStr">
        <is>
          <t>L001</t>
        </is>
      </c>
      <c r="D773" s="84" t="n">
        <v>1100703</v>
      </c>
      <c r="E773" s="80" t="inlineStr">
        <is>
          <t>MOTON SIMPLE MADERA Nº 6</t>
        </is>
      </c>
      <c r="F773" s="67" t="inlineStr">
        <is>
          <t>UN</t>
        </is>
      </c>
      <c r="G773" s="84" t="n">
        <v>1</v>
      </c>
      <c r="H773" s="57" t="inlineStr">
        <is>
          <t>0000002579</t>
        </is>
      </c>
      <c r="I773" s="139" t="n">
        <v>75</v>
      </c>
      <c r="J773" s="140" t="n">
        <v>77.911</v>
      </c>
      <c r="K773" s="86" t="inlineStr">
        <is>
          <t>PEN</t>
        </is>
      </c>
    </row>
    <row r="774">
      <c r="A774" s="84" t="n">
        <v>31010817</v>
      </c>
      <c r="B774" s="67" t="inlineStr">
        <is>
          <t>TPSU</t>
        </is>
      </c>
      <c r="C774" s="90" t="inlineStr">
        <is>
          <t>L001</t>
        </is>
      </c>
      <c r="D774" s="84" t="n">
        <v>1100704</v>
      </c>
      <c r="E774" s="80" t="inlineStr">
        <is>
          <t>GRAPA P/CABLE ACERO 1/4"</t>
        </is>
      </c>
      <c r="F774" s="67" t="inlineStr">
        <is>
          <t>UN</t>
        </is>
      </c>
      <c r="G774" s="84" t="n">
        <v>1</v>
      </c>
      <c r="H774" s="57" t="inlineStr"/>
      <c r="I774" s="139" t="n">
        <v>1.85</v>
      </c>
      <c r="J774" s="140" t="n">
        <v>75.10000000000001</v>
      </c>
      <c r="K774" s="86" t="inlineStr">
        <is>
          <t>PEN</t>
        </is>
      </c>
    </row>
    <row r="775">
      <c r="A775" s="84" t="n">
        <v>31010877</v>
      </c>
      <c r="B775" s="67" t="inlineStr">
        <is>
          <t>TPSU</t>
        </is>
      </c>
      <c r="C775" s="90" t="inlineStr">
        <is>
          <t>L001</t>
        </is>
      </c>
      <c r="D775" s="84" t="n">
        <v>1100704</v>
      </c>
      <c r="E775" s="80" t="inlineStr">
        <is>
          <t>GRILLETE 1/4" T/LIRA</t>
        </is>
      </c>
      <c r="F775" s="67" t="inlineStr">
        <is>
          <t>UN</t>
        </is>
      </c>
      <c r="G775" s="84" t="n">
        <v>7</v>
      </c>
      <c r="H775" s="57" t="inlineStr"/>
      <c r="I775" s="139" t="n">
        <v>70.19</v>
      </c>
      <c r="J775" s="140" t="n">
        <v>71.89999999999999</v>
      </c>
      <c r="K775" s="86" t="inlineStr">
        <is>
          <t>PEN</t>
        </is>
      </c>
    </row>
    <row r="776">
      <c r="A776" s="84" t="n">
        <v>31010897</v>
      </c>
      <c r="B776" s="67" t="inlineStr">
        <is>
          <t>TPSU</t>
        </is>
      </c>
      <c r="C776" s="90" t="inlineStr">
        <is>
          <t>L001</t>
        </is>
      </c>
      <c r="D776" s="84" t="n">
        <v>1100704</v>
      </c>
      <c r="E776" s="80" t="inlineStr">
        <is>
          <t>GRILLETE 5/8" GALV. T/LIRA</t>
        </is>
      </c>
      <c r="F776" s="67" t="inlineStr">
        <is>
          <t>UN</t>
        </is>
      </c>
      <c r="G776" s="84" t="n">
        <v>2</v>
      </c>
      <c r="H776" s="57" t="inlineStr"/>
      <c r="I776" s="139" t="n">
        <v>60.05</v>
      </c>
      <c r="J776" s="140" t="n">
        <v>76.6075</v>
      </c>
      <c r="K776" s="86" t="inlineStr">
        <is>
          <t>PEN</t>
        </is>
      </c>
    </row>
    <row r="777">
      <c r="A777" s="84" t="n">
        <v>32004057</v>
      </c>
      <c r="B777" s="67" t="inlineStr">
        <is>
          <t>TPSU</t>
        </is>
      </c>
      <c r="C777" s="90" t="inlineStr">
        <is>
          <t>L001</t>
        </is>
      </c>
      <c r="D777" s="84" t="n">
        <v>1100802</v>
      </c>
      <c r="E777" s="80" t="inlineStr">
        <is>
          <t>CUCHARA MESA MOD.510-1  HOTELERO FACUSA</t>
        </is>
      </c>
      <c r="F777" s="67" t="inlineStr">
        <is>
          <t>UN</t>
        </is>
      </c>
      <c r="G777" s="84" t="n">
        <v>1</v>
      </c>
      <c r="H777" s="57" t="inlineStr"/>
      <c r="I777" s="139" t="n">
        <v>2.19</v>
      </c>
      <c r="J777" s="140" t="n">
        <v>62.715</v>
      </c>
      <c r="K777" s="86" t="inlineStr">
        <is>
          <t>PEN</t>
        </is>
      </c>
    </row>
    <row r="778">
      <c r="A778" s="84" t="n">
        <v>32005268</v>
      </c>
      <c r="B778" s="67" t="inlineStr">
        <is>
          <t>TPSU</t>
        </is>
      </c>
      <c r="C778" s="90" t="inlineStr">
        <is>
          <t>L001</t>
        </is>
      </c>
      <c r="D778" s="84" t="n">
        <v>1100802</v>
      </c>
      <c r="E778" s="80" t="inlineStr">
        <is>
          <t>TENEDOR MESA 510-2  HOTEL 995100200/739</t>
        </is>
      </c>
      <c r="F778" s="67" t="inlineStr">
        <is>
          <t>UN</t>
        </is>
      </c>
      <c r="G778" s="84" t="n">
        <v>2</v>
      </c>
      <c r="H778" s="57" t="inlineStr"/>
      <c r="I778" s="139" t="n">
        <v>4.2</v>
      </c>
      <c r="J778" s="140" t="n">
        <v>63.435</v>
      </c>
      <c r="K778" s="86" t="inlineStr">
        <is>
          <t>PEN</t>
        </is>
      </c>
    </row>
    <row r="779">
      <c r="A779" s="84" t="n">
        <v>32005365</v>
      </c>
      <c r="B779" s="67" t="inlineStr">
        <is>
          <t>TPSU</t>
        </is>
      </c>
      <c r="C779" s="90" t="inlineStr">
        <is>
          <t>L001</t>
        </is>
      </c>
      <c r="D779" s="84" t="n">
        <v>1100803</v>
      </c>
      <c r="E779" s="80" t="inlineStr">
        <is>
          <t>TRINCHE METAL 40 CM M/MADERA ART PERUANA</t>
        </is>
      </c>
      <c r="F779" s="67" t="inlineStr">
        <is>
          <t>UN</t>
        </is>
      </c>
      <c r="G779" s="84" t="n">
        <v>1</v>
      </c>
      <c r="H779" s="57" t="inlineStr"/>
      <c r="I779" s="139" t="n">
        <v>7</v>
      </c>
      <c r="J779" s="140" t="n">
        <v>89.556</v>
      </c>
      <c r="K779" s="86" t="inlineStr">
        <is>
          <t>PEN</t>
        </is>
      </c>
    </row>
    <row r="780">
      <c r="A780" s="84" t="n">
        <v>31010745</v>
      </c>
      <c r="B780" s="67" t="inlineStr">
        <is>
          <t>TPSU</t>
        </is>
      </c>
      <c r="C780" s="90" t="inlineStr">
        <is>
          <t>L001</t>
        </is>
      </c>
      <c r="D780" s="84" t="n">
        <v>1100804</v>
      </c>
      <c r="E780" s="80" t="inlineStr">
        <is>
          <t>GANCHO GIRATORIO 1" GALV.</t>
        </is>
      </c>
      <c r="F780" s="67" t="inlineStr">
        <is>
          <t>UN</t>
        </is>
      </c>
      <c r="G780" s="84" t="n">
        <v>1</v>
      </c>
      <c r="H780" s="57" t="inlineStr"/>
      <c r="I780" s="139" t="n">
        <v>205</v>
      </c>
      <c r="J780" s="140" t="n">
        <v>63.72736842105263</v>
      </c>
      <c r="K780" s="86" t="inlineStr">
        <is>
          <t>PEN</t>
        </is>
      </c>
    </row>
    <row r="781">
      <c r="A781" s="84" t="n">
        <v>32004814</v>
      </c>
      <c r="B781" s="67" t="inlineStr">
        <is>
          <t>TPSU</t>
        </is>
      </c>
      <c r="C781" s="90" t="inlineStr">
        <is>
          <t>L001</t>
        </is>
      </c>
      <c r="D781" s="84" t="n">
        <v>1110101</v>
      </c>
      <c r="E781" s="80" t="inlineStr">
        <is>
          <t>PANTALON POLYESTER BLANCO P/DAMA "28"</t>
        </is>
      </c>
      <c r="F781" s="67" t="inlineStr">
        <is>
          <t>UN</t>
        </is>
      </c>
      <c r="G781" s="84" t="n">
        <v>1</v>
      </c>
      <c r="H781" s="57" t="inlineStr"/>
      <c r="I781" s="139" t="n">
        <v>49</v>
      </c>
      <c r="J781" s="140" t="n">
        <v>64.90384615384616</v>
      </c>
      <c r="K781" s="86" t="inlineStr">
        <is>
          <t>PEN</t>
        </is>
      </c>
    </row>
    <row r="782">
      <c r="A782" s="84" t="n">
        <v>32003958</v>
      </c>
      <c r="B782" s="67" t="inlineStr">
        <is>
          <t>TPSU</t>
        </is>
      </c>
      <c r="C782" s="90" t="inlineStr">
        <is>
          <t>L001</t>
        </is>
      </c>
      <c r="D782" s="84" t="n">
        <v>1110102</v>
      </c>
      <c r="E782" s="80" t="inlineStr">
        <is>
          <t>CHAQUETA POLYESTER BLANCA M/L DAMA "L</t>
        </is>
      </c>
      <c r="F782" s="67" t="inlineStr">
        <is>
          <t>UN</t>
        </is>
      </c>
      <c r="G782" s="84" t="n">
        <v>1</v>
      </c>
      <c r="H782" s="57" t="inlineStr"/>
      <c r="I782" s="139" t="n">
        <v>76.59999999999999</v>
      </c>
      <c r="J782" s="140" t="n">
        <v>65.18000000000001</v>
      </c>
      <c r="K782" s="86" t="inlineStr">
        <is>
          <t>PEN</t>
        </is>
      </c>
    </row>
    <row r="783">
      <c r="A783" s="84" t="n">
        <v>32003959</v>
      </c>
      <c r="B783" s="67" t="inlineStr">
        <is>
          <t>TPSU</t>
        </is>
      </c>
      <c r="C783" s="90" t="inlineStr">
        <is>
          <t>L001</t>
        </is>
      </c>
      <c r="D783" s="84" t="n">
        <v>1110102</v>
      </c>
      <c r="E783" s="80" t="inlineStr">
        <is>
          <t>CHAQUETA POLYESTER BLANCA M/L DAMA "M</t>
        </is>
      </c>
      <c r="F783" s="67" t="inlineStr">
        <is>
          <t>UN</t>
        </is>
      </c>
      <c r="G783" s="84" t="n">
        <v>2</v>
      </c>
      <c r="H783" s="57" t="inlineStr"/>
      <c r="I783" s="139" t="n">
        <v>183.8</v>
      </c>
      <c r="J783" s="140" t="n">
        <v>92.84999999999999</v>
      </c>
      <c r="K783" s="86" t="inlineStr">
        <is>
          <t>PEN</t>
        </is>
      </c>
    </row>
    <row r="784">
      <c r="A784" s="84" t="n">
        <v>32004821</v>
      </c>
      <c r="B784" s="67" t="inlineStr">
        <is>
          <t>TPSU</t>
        </is>
      </c>
      <c r="C784" s="90" t="inlineStr">
        <is>
          <t>L001</t>
        </is>
      </c>
      <c r="D784" s="84" t="n">
        <v>1110103</v>
      </c>
      <c r="E784" s="80" t="inlineStr">
        <is>
          <t>PANTALON POLYESTER BLANCO P/VARON "30</t>
        </is>
      </c>
      <c r="F784" s="67" t="inlineStr">
        <is>
          <t>UN</t>
        </is>
      </c>
      <c r="G784" s="84" t="n">
        <v>2</v>
      </c>
      <c r="H784" s="57" t="inlineStr"/>
      <c r="I784" s="139" t="n">
        <v>98.47</v>
      </c>
      <c r="J784" s="140" t="n">
        <v>68.59999999999999</v>
      </c>
      <c r="K784" s="86" t="inlineStr">
        <is>
          <t>PEN</t>
        </is>
      </c>
    </row>
    <row r="785">
      <c r="A785" s="84" t="n">
        <v>32004823</v>
      </c>
      <c r="B785" s="67" t="inlineStr">
        <is>
          <t>TPSU</t>
        </is>
      </c>
      <c r="C785" s="90" t="inlineStr">
        <is>
          <t>L001</t>
        </is>
      </c>
      <c r="D785" s="84" t="n">
        <v>1110103</v>
      </c>
      <c r="E785" s="80" t="inlineStr">
        <is>
          <t>PANTALON POLYESTER BLANCO P/VARON "34</t>
        </is>
      </c>
      <c r="F785" s="67" t="inlineStr">
        <is>
          <t>UN</t>
        </is>
      </c>
      <c r="G785" s="84" t="n">
        <v>1</v>
      </c>
      <c r="H785" s="57" t="inlineStr"/>
      <c r="I785" s="139" t="n">
        <v>49</v>
      </c>
      <c r="J785" s="140" t="n">
        <v>68.59999999999999</v>
      </c>
      <c r="K785" s="86" t="inlineStr">
        <is>
          <t>PEN</t>
        </is>
      </c>
    </row>
    <row r="786">
      <c r="A786" s="84" t="n">
        <v>32004824</v>
      </c>
      <c r="B786" s="67" t="inlineStr">
        <is>
          <t>TPSU</t>
        </is>
      </c>
      <c r="C786" s="90" t="inlineStr">
        <is>
          <t>L001</t>
        </is>
      </c>
      <c r="D786" s="84" t="n">
        <v>1110103</v>
      </c>
      <c r="E786" s="80" t="inlineStr">
        <is>
          <t>PANTALON POLYESTER BLANCO P/VARON "36</t>
        </is>
      </c>
      <c r="F786" s="67" t="inlineStr">
        <is>
          <t>UN</t>
        </is>
      </c>
      <c r="G786" s="84" t="n">
        <v>1</v>
      </c>
      <c r="H786" s="57" t="inlineStr"/>
      <c r="I786" s="139" t="n">
        <v>49</v>
      </c>
      <c r="J786" s="140" t="n">
        <v>97.98</v>
      </c>
      <c r="K786" s="86" t="inlineStr">
        <is>
          <t>PEN</t>
        </is>
      </c>
    </row>
    <row r="787">
      <c r="A787" s="84" t="n">
        <v>32003961</v>
      </c>
      <c r="B787" s="67" t="inlineStr">
        <is>
          <t>TPSU</t>
        </is>
      </c>
      <c r="C787" s="90" t="inlineStr">
        <is>
          <t>L001</t>
        </is>
      </c>
      <c r="D787" s="84" t="n">
        <v>1110104</v>
      </c>
      <c r="E787" s="80" t="inlineStr">
        <is>
          <t>CHAQUETA POLYESTER BLANCA M/L VARON "L</t>
        </is>
      </c>
      <c r="F787" s="67" t="inlineStr">
        <is>
          <t>UN</t>
        </is>
      </c>
      <c r="G787" s="84" t="n">
        <v>2</v>
      </c>
      <c r="H787" s="57" t="inlineStr"/>
      <c r="I787" s="139" t="n">
        <v>141.49</v>
      </c>
      <c r="J787" s="140" t="n">
        <v>97.98</v>
      </c>
      <c r="K787" s="86" t="inlineStr">
        <is>
          <t>PEN</t>
        </is>
      </c>
    </row>
    <row r="788">
      <c r="A788" s="84" t="n">
        <v>32003962</v>
      </c>
      <c r="B788" s="67" t="inlineStr">
        <is>
          <t>TPSU</t>
        </is>
      </c>
      <c r="C788" s="90" t="inlineStr">
        <is>
          <t>L001</t>
        </is>
      </c>
      <c r="D788" s="84" t="n">
        <v>1110104</v>
      </c>
      <c r="E788" s="80" t="inlineStr">
        <is>
          <t>CHAQUETA POLYESTER BLANCA M/L VARON "M</t>
        </is>
      </c>
      <c r="F788" s="67" t="inlineStr">
        <is>
          <t>UN</t>
        </is>
      </c>
      <c r="G788" s="84" t="n">
        <v>1</v>
      </c>
      <c r="H788" s="57" t="inlineStr"/>
      <c r="I788" s="139" t="n">
        <v>78.23999999999999</v>
      </c>
      <c r="J788" s="140" t="n">
        <v>73.09999999999999</v>
      </c>
      <c r="K788" s="86" t="inlineStr">
        <is>
          <t>PEN</t>
        </is>
      </c>
    </row>
    <row r="789">
      <c r="A789" s="84" t="n">
        <v>32003963</v>
      </c>
      <c r="B789" s="67" t="inlineStr">
        <is>
          <t>TPSU</t>
        </is>
      </c>
      <c r="C789" s="90" t="inlineStr">
        <is>
          <t>L001</t>
        </is>
      </c>
      <c r="D789" s="84" t="n">
        <v>1110104</v>
      </c>
      <c r="E789" s="80" t="inlineStr">
        <is>
          <t>CHAQUETA POLYESTER BLANCA M/L VARON "S</t>
        </is>
      </c>
      <c r="F789" s="67" t="inlineStr">
        <is>
          <t>UN</t>
        </is>
      </c>
      <c r="G789" s="84" t="n">
        <v>1</v>
      </c>
      <c r="H789" s="57" t="inlineStr"/>
      <c r="I789" s="139" t="n">
        <v>80.79000000000001</v>
      </c>
      <c r="J789" s="140" t="n">
        <v>71.63111111111111</v>
      </c>
      <c r="K789" s="86" t="inlineStr">
        <is>
          <t>PEN</t>
        </is>
      </c>
    </row>
    <row r="790">
      <c r="A790" s="84" t="n">
        <v>32003724</v>
      </c>
      <c r="B790" s="67" t="inlineStr">
        <is>
          <t>TPSU</t>
        </is>
      </c>
      <c r="C790" s="90" t="inlineStr">
        <is>
          <t>L001</t>
        </is>
      </c>
      <c r="D790" s="84" t="n">
        <v>1110201</v>
      </c>
      <c r="E790" s="80" t="inlineStr">
        <is>
          <t>BOTIN MARRON DIELECT. P/COMPO KEVLART.36</t>
        </is>
      </c>
      <c r="F790" s="67" t="inlineStr">
        <is>
          <t>PAR</t>
        </is>
      </c>
      <c r="G790" s="84" t="n">
        <v>2</v>
      </c>
      <c r="H790" s="57" t="inlineStr"/>
      <c r="I790" s="139" t="n">
        <v>172.96</v>
      </c>
      <c r="J790" s="140" t="n">
        <v>73.10000000000001</v>
      </c>
      <c r="K790" s="86" t="inlineStr">
        <is>
          <t>PEN</t>
        </is>
      </c>
    </row>
    <row r="791">
      <c r="A791" s="84" t="n">
        <v>32003726</v>
      </c>
      <c r="B791" s="67" t="inlineStr">
        <is>
          <t>TPSU</t>
        </is>
      </c>
      <c r="C791" s="90" t="inlineStr">
        <is>
          <t>L001</t>
        </is>
      </c>
      <c r="D791" s="84" t="n">
        <v>1110201</v>
      </c>
      <c r="E791" s="80" t="inlineStr">
        <is>
          <t>BOTIN MARRON DIELECT. P/COMPO KEVLART.38</t>
        </is>
      </c>
      <c r="F791" s="67" t="inlineStr">
        <is>
          <t>PAR</t>
        </is>
      </c>
      <c r="G791" s="84" t="n">
        <v>2</v>
      </c>
      <c r="H791" s="57" t="inlineStr"/>
      <c r="I791" s="139" t="n">
        <v>170.52</v>
      </c>
      <c r="J791" s="140" t="n">
        <v>97.98</v>
      </c>
      <c r="K791" s="86" t="inlineStr">
        <is>
          <t>PEN</t>
        </is>
      </c>
    </row>
    <row r="792">
      <c r="A792" s="84" t="n">
        <v>32003729</v>
      </c>
      <c r="B792" s="67" t="inlineStr">
        <is>
          <t>TPSU</t>
        </is>
      </c>
      <c r="C792" s="90" t="inlineStr">
        <is>
          <t>L001</t>
        </is>
      </c>
      <c r="D792" s="84" t="n">
        <v>1110201</v>
      </c>
      <c r="E792" s="80" t="inlineStr">
        <is>
          <t>BOTIN MARRON DIELECT. P/COMPO KEVLART.41</t>
        </is>
      </c>
      <c r="F792" s="67" t="inlineStr">
        <is>
          <t>PAR</t>
        </is>
      </c>
      <c r="G792" s="84" t="n">
        <v>1</v>
      </c>
      <c r="H792" s="57" t="inlineStr"/>
      <c r="I792" s="139" t="n">
        <v>89.90000000000001</v>
      </c>
      <c r="J792" s="140" t="n">
        <v>97.98</v>
      </c>
      <c r="K792" s="86" t="inlineStr">
        <is>
          <t>PEN</t>
        </is>
      </c>
    </row>
    <row r="793">
      <c r="A793" s="84" t="n">
        <v>32005422</v>
      </c>
      <c r="B793" s="67" t="inlineStr">
        <is>
          <t>TPSU</t>
        </is>
      </c>
      <c r="C793" s="90" t="inlineStr">
        <is>
          <t>L001</t>
        </is>
      </c>
      <c r="D793" s="84" t="n">
        <v>1110202</v>
      </c>
      <c r="E793" s="80" t="inlineStr">
        <is>
          <t>BOTIN MARRON P/ACERO DAMA KEVLAR T-36</t>
        </is>
      </c>
      <c r="F793" s="67" t="inlineStr">
        <is>
          <t>PAR</t>
        </is>
      </c>
      <c r="G793" s="84" t="n">
        <v>1</v>
      </c>
      <c r="H793" s="57" t="inlineStr"/>
      <c r="I793" s="139" t="n">
        <v>71.27</v>
      </c>
      <c r="J793" s="140" t="n">
        <v>49.47</v>
      </c>
      <c r="K793" s="86" t="inlineStr">
        <is>
          <t>PEN</t>
        </is>
      </c>
    </row>
    <row r="794">
      <c r="A794" s="84" t="n">
        <v>32003737</v>
      </c>
      <c r="B794" s="67" t="inlineStr">
        <is>
          <t>TPSU</t>
        </is>
      </c>
      <c r="C794" s="90" t="inlineStr">
        <is>
          <t>L001</t>
        </is>
      </c>
      <c r="D794" s="84" t="n">
        <v>1110202</v>
      </c>
      <c r="E794" s="80" t="inlineStr">
        <is>
          <t>BOTIN MARRON P/ACERO DAMA KEVLAR T-38</t>
        </is>
      </c>
      <c r="F794" s="67" t="inlineStr">
        <is>
          <t>PAR</t>
        </is>
      </c>
      <c r="G794" s="84" t="n">
        <v>5</v>
      </c>
      <c r="H794" s="57" t="inlineStr"/>
      <c r="I794" s="139" t="n">
        <v>364.37</v>
      </c>
      <c r="J794" s="140" t="n">
        <v>40.66</v>
      </c>
      <c r="K794" s="86" t="inlineStr">
        <is>
          <t>PEN</t>
        </is>
      </c>
    </row>
    <row r="795">
      <c r="A795" s="84" t="n">
        <v>32005421</v>
      </c>
      <c r="B795" s="67" t="inlineStr">
        <is>
          <t>TPSU</t>
        </is>
      </c>
      <c r="C795" s="90" t="inlineStr">
        <is>
          <t>L001</t>
        </is>
      </c>
      <c r="D795" s="84" t="n">
        <v>1110202</v>
      </c>
      <c r="E795" s="80" t="inlineStr">
        <is>
          <t>BOTIN MARRON P/ACERO DAMA.KEVLAR T.35</t>
        </is>
      </c>
      <c r="F795" s="67" t="inlineStr">
        <is>
          <t>PAR</t>
        </is>
      </c>
      <c r="G795" s="84" t="n">
        <v>1</v>
      </c>
      <c r="H795" s="57" t="inlineStr"/>
      <c r="I795" s="139" t="n">
        <v>72.52</v>
      </c>
      <c r="J795" s="140" t="n">
        <v>43.41</v>
      </c>
      <c r="K795" s="86" t="inlineStr">
        <is>
          <t>PEN</t>
        </is>
      </c>
    </row>
    <row r="796">
      <c r="A796" s="84" t="n">
        <v>32003680</v>
      </c>
      <c r="B796" s="67" t="inlineStr">
        <is>
          <t>TPSU</t>
        </is>
      </c>
      <c r="C796" s="90" t="inlineStr">
        <is>
          <t>L001</t>
        </is>
      </c>
      <c r="D796" s="84" t="n">
        <v>1110203</v>
      </c>
      <c r="E796" s="80" t="inlineStr">
        <is>
          <t>BOTIN CUERO MARRON P/ACERO A: 32003758</t>
        </is>
      </c>
      <c r="F796" s="67" t="inlineStr">
        <is>
          <t>PAR</t>
        </is>
      </c>
      <c r="G796" s="84" t="n">
        <v>1</v>
      </c>
      <c r="H796" s="57" t="inlineStr"/>
      <c r="I796" s="139" t="n">
        <v>71.40000000000001</v>
      </c>
      <c r="J796" s="140" t="n">
        <v>21.48</v>
      </c>
      <c r="K796" s="86" t="inlineStr">
        <is>
          <t>PEN</t>
        </is>
      </c>
    </row>
    <row r="797">
      <c r="A797" s="84" t="n">
        <v>32005423</v>
      </c>
      <c r="B797" s="67" t="inlineStr">
        <is>
          <t>TPSU</t>
        </is>
      </c>
      <c r="C797" s="90" t="inlineStr">
        <is>
          <t>L001</t>
        </is>
      </c>
      <c r="D797" s="84" t="n">
        <v>1110203</v>
      </c>
      <c r="E797" s="80" t="inlineStr">
        <is>
          <t>BOTIN MARRON P/ACERO DAMA KEVLAR T-37</t>
        </is>
      </c>
      <c r="F797" s="67" t="inlineStr">
        <is>
          <t>PAR</t>
        </is>
      </c>
      <c r="G797" s="84" t="n">
        <v>1</v>
      </c>
      <c r="H797" s="57" t="inlineStr"/>
      <c r="I797" s="139" t="n">
        <v>75.67</v>
      </c>
      <c r="J797" s="140" t="n">
        <v>13.195</v>
      </c>
      <c r="K797" s="86" t="inlineStr">
        <is>
          <t>PEN</t>
        </is>
      </c>
    </row>
    <row r="798">
      <c r="A798" s="84" t="n">
        <v>32003739</v>
      </c>
      <c r="B798" s="67" t="inlineStr">
        <is>
          <t>TPSU</t>
        </is>
      </c>
      <c r="C798" s="90" t="inlineStr">
        <is>
          <t>L001</t>
        </is>
      </c>
      <c r="D798" s="84" t="n">
        <v>1110203</v>
      </c>
      <c r="E798" s="80" t="inlineStr">
        <is>
          <t>BOTIN MARRON P/ACERO DAMA KEVLAR T-40</t>
        </is>
      </c>
      <c r="F798" s="67" t="inlineStr">
        <is>
          <t>PAR</t>
        </is>
      </c>
      <c r="G798" s="84" t="n">
        <v>1</v>
      </c>
      <c r="H798" s="57" t="inlineStr"/>
      <c r="I798" s="139" t="n">
        <v>71.40000000000001</v>
      </c>
      <c r="J798" s="140" t="n">
        <v>14.035</v>
      </c>
      <c r="K798" s="86" t="inlineStr">
        <is>
          <t>PEN</t>
        </is>
      </c>
    </row>
    <row r="799">
      <c r="A799" s="84" t="n">
        <v>32003754</v>
      </c>
      <c r="B799" s="67" t="inlineStr">
        <is>
          <t>TPSU</t>
        </is>
      </c>
      <c r="C799" s="90" t="inlineStr">
        <is>
          <t>L001</t>
        </is>
      </c>
      <c r="D799" s="84" t="n">
        <v>1110205</v>
      </c>
      <c r="E799" s="80" t="inlineStr">
        <is>
          <t>BOTIN POLIURETANO P/ACERO T-36</t>
        </is>
      </c>
      <c r="F799" s="67" t="inlineStr">
        <is>
          <t>PAR</t>
        </is>
      </c>
      <c r="G799" s="84" t="n">
        <v>3</v>
      </c>
      <c r="H799" s="57" t="inlineStr"/>
      <c r="I799" s="139" t="n">
        <v>174.1</v>
      </c>
      <c r="J799" s="140" t="n">
        <v>10.2</v>
      </c>
      <c r="K799" s="86" t="inlineStr">
        <is>
          <t>PEN</t>
        </is>
      </c>
    </row>
    <row r="800">
      <c r="A800" s="84" t="n">
        <v>32003756</v>
      </c>
      <c r="B800" s="67" t="inlineStr">
        <is>
          <t>TPSU</t>
        </is>
      </c>
      <c r="C800" s="90" t="inlineStr">
        <is>
          <t>L001</t>
        </is>
      </c>
      <c r="D800" s="84" t="n">
        <v>1110205</v>
      </c>
      <c r="E800" s="80" t="inlineStr">
        <is>
          <t>BOTIN POLIURETANO P/ACERO T-38</t>
        </is>
      </c>
      <c r="F800" s="67" t="inlineStr">
        <is>
          <t>PAR</t>
        </is>
      </c>
      <c r="G800" s="84" t="n">
        <v>3</v>
      </c>
      <c r="H800" s="57" t="inlineStr"/>
      <c r="I800" s="139" t="n">
        <v>174.1</v>
      </c>
      <c r="J800" s="140" t="n">
        <v>23.29333333333333</v>
      </c>
      <c r="K800" s="86" t="inlineStr">
        <is>
          <t>PEN</t>
        </is>
      </c>
    </row>
    <row r="801">
      <c r="A801" s="84" t="n">
        <v>32003758</v>
      </c>
      <c r="B801" s="67" t="inlineStr">
        <is>
          <t>TPSU</t>
        </is>
      </c>
      <c r="C801" s="90" t="inlineStr">
        <is>
          <t>L001</t>
        </is>
      </c>
      <c r="D801" s="84" t="n">
        <v>1110205</v>
      </c>
      <c r="E801" s="80" t="inlineStr">
        <is>
          <t>BOTIN POLIURETANO P/ACERO T-40</t>
        </is>
      </c>
      <c r="F801" s="67" t="inlineStr">
        <is>
          <t>PAR</t>
        </is>
      </c>
      <c r="G801" s="84" t="n">
        <v>3</v>
      </c>
      <c r="H801" s="57" t="inlineStr"/>
      <c r="I801" s="139" t="n">
        <v>185.2</v>
      </c>
      <c r="J801" s="140" t="n">
        <v>23.29</v>
      </c>
      <c r="K801" s="86" t="inlineStr">
        <is>
          <t>PEN</t>
        </is>
      </c>
    </row>
    <row r="802">
      <c r="A802" s="84" t="n">
        <v>32003714</v>
      </c>
      <c r="B802" s="67" t="inlineStr">
        <is>
          <t>TPSU</t>
        </is>
      </c>
      <c r="C802" s="90" t="inlineStr">
        <is>
          <t>L001</t>
        </is>
      </c>
      <c r="D802" s="84" t="n">
        <v>1110301</v>
      </c>
      <c r="E802" s="80" t="inlineStr">
        <is>
          <t>BOTIN CUERO NEGRO P/ACERO KEVLAR T-38</t>
        </is>
      </c>
      <c r="F802" s="67" t="inlineStr">
        <is>
          <t>PAR</t>
        </is>
      </c>
      <c r="G802" s="84" t="n">
        <v>1</v>
      </c>
      <c r="H802" s="57" t="inlineStr"/>
      <c r="I802" s="139" t="n">
        <v>72.92</v>
      </c>
      <c r="J802" s="140" t="n">
        <v>24.705</v>
      </c>
      <c r="K802" s="86" t="inlineStr">
        <is>
          <t>PEN</t>
        </is>
      </c>
    </row>
    <row r="803">
      <c r="A803" s="84" t="n">
        <v>32003715</v>
      </c>
      <c r="B803" s="67" t="inlineStr">
        <is>
          <t>TPSU</t>
        </is>
      </c>
      <c r="C803" s="90" t="inlineStr">
        <is>
          <t>L001</t>
        </is>
      </c>
      <c r="D803" s="84" t="n">
        <v>1110301</v>
      </c>
      <c r="E803" s="80" t="inlineStr">
        <is>
          <t>BOTIN CUERO NEGRO P/ACERO KEVLAR T-39</t>
        </is>
      </c>
      <c r="F803" s="67" t="inlineStr">
        <is>
          <t>PAR</t>
        </is>
      </c>
      <c r="G803" s="84" t="n">
        <v>2</v>
      </c>
      <c r="H803" s="57" t="inlineStr"/>
      <c r="I803" s="139" t="n">
        <v>153.93</v>
      </c>
      <c r="J803" s="140" t="n">
        <v>24.70666666666667</v>
      </c>
      <c r="K803" s="86" t="inlineStr">
        <is>
          <t>PEN</t>
        </is>
      </c>
    </row>
    <row r="804">
      <c r="A804" s="84" t="n">
        <v>32003716</v>
      </c>
      <c r="B804" s="82" t="inlineStr">
        <is>
          <t>TPSU</t>
        </is>
      </c>
      <c r="C804" s="82" t="inlineStr">
        <is>
          <t>L001</t>
        </is>
      </c>
      <c r="D804" s="84" t="n">
        <v>1110301</v>
      </c>
      <c r="E804" s="80" t="inlineStr">
        <is>
          <t>BOTIN CUERO NEGRO P/ACERO KEVLAR T-40</t>
        </is>
      </c>
      <c r="F804" s="67" t="inlineStr">
        <is>
          <t>PAR</t>
        </is>
      </c>
      <c r="G804" s="84" t="n">
        <v>7</v>
      </c>
      <c r="H804" s="57" t="inlineStr"/>
      <c r="I804" s="139" t="n">
        <v>525.52</v>
      </c>
      <c r="J804" s="140" t="n">
        <v>22.31666666666667</v>
      </c>
      <c r="K804" s="86" t="inlineStr">
        <is>
          <t>PEN</t>
        </is>
      </c>
    </row>
    <row r="805">
      <c r="A805" s="84" t="n">
        <v>32003717</v>
      </c>
      <c r="B805" s="67" t="inlineStr">
        <is>
          <t>TPSU</t>
        </is>
      </c>
      <c r="C805" s="90" t="inlineStr">
        <is>
          <t>L001</t>
        </is>
      </c>
      <c r="D805" s="84" t="n">
        <v>1110302</v>
      </c>
      <c r="E805" s="80" t="inlineStr">
        <is>
          <t>BOTIN CUERO NEGRO P/ACERO KEVLAR T-41</t>
        </is>
      </c>
      <c r="F805" s="67" t="inlineStr">
        <is>
          <t>PAR</t>
        </is>
      </c>
      <c r="G805" s="84" t="n">
        <v>10</v>
      </c>
      <c r="H805" s="57" t="inlineStr"/>
      <c r="I805" s="139" t="n">
        <v>779.11</v>
      </c>
      <c r="J805" s="140" t="n">
        <v>36.12</v>
      </c>
      <c r="K805" s="86" t="inlineStr">
        <is>
          <t>PEN</t>
        </is>
      </c>
    </row>
    <row r="806">
      <c r="A806" s="84" t="n">
        <v>32003718</v>
      </c>
      <c r="B806" s="67" t="inlineStr">
        <is>
          <t>TPSU</t>
        </is>
      </c>
      <c r="C806" s="90" t="inlineStr">
        <is>
          <t>L001</t>
        </is>
      </c>
      <c r="D806" s="84" t="n">
        <v>1110303</v>
      </c>
      <c r="E806" s="80" t="inlineStr">
        <is>
          <t>BOTIN CUERO NEGRO P/ACERO KEVLAR T-42</t>
        </is>
      </c>
      <c r="F806" s="67" t="inlineStr">
        <is>
          <t>PAR</t>
        </is>
      </c>
      <c r="G806" s="84" t="n">
        <v>17</v>
      </c>
      <c r="H806" s="57" t="inlineStr"/>
      <c r="I806" s="139" t="n">
        <v>1276.7</v>
      </c>
      <c r="J806" s="140" t="n">
        <v>36.12</v>
      </c>
      <c r="K806" s="86" t="inlineStr">
        <is>
          <t>PEN</t>
        </is>
      </c>
    </row>
    <row r="807">
      <c r="A807" s="84" t="n">
        <v>32003719</v>
      </c>
      <c r="B807" s="67" t="inlineStr">
        <is>
          <t>TPSU</t>
        </is>
      </c>
      <c r="C807" s="90" t="inlineStr">
        <is>
          <t>L001</t>
        </is>
      </c>
      <c r="D807" s="84" t="n">
        <v>1110304</v>
      </c>
      <c r="E807" s="80" t="inlineStr">
        <is>
          <t>BOTIN CUERO NEGRO P/ACERO KEVLAR T-43</t>
        </is>
      </c>
      <c r="F807" s="67" t="inlineStr">
        <is>
          <t>PAR</t>
        </is>
      </c>
      <c r="G807" s="84" t="n">
        <v>3</v>
      </c>
      <c r="H807" s="57" t="inlineStr"/>
      <c r="I807" s="139" t="n">
        <v>215.7</v>
      </c>
      <c r="J807" s="140" t="n">
        <v>42.935</v>
      </c>
      <c r="K807" s="86" t="inlineStr">
        <is>
          <t>PEN</t>
        </is>
      </c>
    </row>
    <row r="808">
      <c r="A808" s="84" t="n">
        <v>32003720</v>
      </c>
      <c r="B808" s="67" t="inlineStr">
        <is>
          <t>TPSU</t>
        </is>
      </c>
      <c r="C808" s="90" t="inlineStr">
        <is>
          <t>L001</t>
        </is>
      </c>
      <c r="D808" s="84" t="n">
        <v>1110304</v>
      </c>
      <c r="E808" s="80" t="inlineStr">
        <is>
          <t>BOTIN CUERO NEGRO P/ACERO KEVLAR T-44</t>
        </is>
      </c>
      <c r="F808" s="67" t="inlineStr">
        <is>
          <t>PAR</t>
        </is>
      </c>
      <c r="G808" s="84" t="n">
        <v>4</v>
      </c>
      <c r="H808" s="57" t="inlineStr"/>
      <c r="I808" s="139" t="n">
        <v>306.43</v>
      </c>
      <c r="J808" s="140" t="n">
        <v>117.26625</v>
      </c>
      <c r="K808" s="86" t="inlineStr">
        <is>
          <t>PEN</t>
        </is>
      </c>
    </row>
    <row r="809">
      <c r="A809" s="84" t="n">
        <v>32003745</v>
      </c>
      <c r="B809" s="67" t="inlineStr">
        <is>
          <t>TPSU</t>
        </is>
      </c>
      <c r="C809" s="90" t="inlineStr">
        <is>
          <t>L001</t>
        </is>
      </c>
      <c r="D809" s="84" t="n">
        <v>1110401</v>
      </c>
      <c r="E809" s="80" t="inlineStr">
        <is>
          <t>BOTIN NEGRO DIELECT.P/COMPO. KEVLAR T-39</t>
        </is>
      </c>
      <c r="F809" s="67" t="inlineStr">
        <is>
          <t>PAR</t>
        </is>
      </c>
      <c r="G809" s="84" t="n">
        <v>2</v>
      </c>
      <c r="H809" s="57" t="inlineStr"/>
      <c r="I809" s="139" t="n">
        <v>125.43</v>
      </c>
      <c r="J809" s="140" t="n">
        <v>6.69375</v>
      </c>
      <c r="K809" s="86" t="inlineStr">
        <is>
          <t>PEN</t>
        </is>
      </c>
    </row>
    <row r="810">
      <c r="A810" s="84" t="n">
        <v>32003746</v>
      </c>
      <c r="B810" s="67" t="inlineStr">
        <is>
          <t>TPSU</t>
        </is>
      </c>
      <c r="C810" s="90" t="inlineStr">
        <is>
          <t>L001</t>
        </is>
      </c>
      <c r="D810" s="84" t="n">
        <v>1110401</v>
      </c>
      <c r="E810" s="80" t="inlineStr">
        <is>
          <t>BOTIN NEGRO DIELECT.P/COMPO. KEVLAR T-40</t>
        </is>
      </c>
      <c r="F810" s="67" t="inlineStr">
        <is>
          <t>PAR</t>
        </is>
      </c>
      <c r="G810" s="84" t="n">
        <v>18</v>
      </c>
      <c r="H810" s="57" t="inlineStr"/>
      <c r="I810" s="139" t="n">
        <v>1141.83</v>
      </c>
      <c r="J810" s="140" t="n">
        <v>42.98</v>
      </c>
      <c r="K810" s="86" t="inlineStr">
        <is>
          <t>PEN</t>
        </is>
      </c>
    </row>
    <row r="811">
      <c r="A811" s="84" t="n">
        <v>32003747</v>
      </c>
      <c r="B811" s="67" t="inlineStr">
        <is>
          <t>TPSU</t>
        </is>
      </c>
      <c r="C811" s="90" t="inlineStr">
        <is>
          <t>L001</t>
        </is>
      </c>
      <c r="D811" s="84" t="n">
        <v>1110402</v>
      </c>
      <c r="E811" s="80" t="inlineStr">
        <is>
          <t>BOTIN NEGRO DIELECT.P/COMPO. KEVLAR T-41</t>
        </is>
      </c>
      <c r="F811" s="67" t="inlineStr">
        <is>
          <t>PAR</t>
        </is>
      </c>
      <c r="G811" s="84" t="n">
        <v>15</v>
      </c>
      <c r="H811" s="57" t="inlineStr"/>
      <c r="I811" s="139" t="n">
        <v>1343.34</v>
      </c>
      <c r="J811" s="140" t="n">
        <v>42.98</v>
      </c>
      <c r="K811" s="86" t="inlineStr">
        <is>
          <t>PEN</t>
        </is>
      </c>
    </row>
    <row r="812">
      <c r="A812" s="84" t="n">
        <v>32003748</v>
      </c>
      <c r="B812" s="67" t="inlineStr">
        <is>
          <t>TPSU</t>
        </is>
      </c>
      <c r="C812" s="90" t="inlineStr">
        <is>
          <t>L001</t>
        </is>
      </c>
      <c r="D812" s="84" t="n">
        <v>1110403</v>
      </c>
      <c r="E812" s="80" t="inlineStr">
        <is>
          <t>BOTIN NEGRO DIELECT.P/COMPO. KEVLAR T-42</t>
        </is>
      </c>
      <c r="F812" s="67" t="inlineStr">
        <is>
          <t>PAR</t>
        </is>
      </c>
      <c r="G812" s="84" t="n">
        <v>19</v>
      </c>
      <c r="H812" s="57" t="inlineStr"/>
      <c r="I812" s="139" t="n">
        <v>1210.82</v>
      </c>
      <c r="J812" s="140" t="n">
        <v>6.453333333333333</v>
      </c>
      <c r="K812" s="86" t="inlineStr">
        <is>
          <t>PEN</t>
        </is>
      </c>
    </row>
    <row r="813">
      <c r="A813" s="84" t="n">
        <v>32003749</v>
      </c>
      <c r="B813" s="67" t="inlineStr">
        <is>
          <t>TPSU</t>
        </is>
      </c>
      <c r="C813" s="90" t="inlineStr">
        <is>
          <t>L001</t>
        </is>
      </c>
      <c r="D813" s="84" t="n">
        <v>1110404</v>
      </c>
      <c r="E813" s="80" t="inlineStr">
        <is>
          <t>BOTIN NEGRO DIELECT.P/COMPO. KEVLAR T-43</t>
        </is>
      </c>
      <c r="F813" s="67" t="inlineStr">
        <is>
          <t>PAR</t>
        </is>
      </c>
      <c r="G813" s="84" t="n">
        <v>13</v>
      </c>
      <c r="H813" s="57" t="inlineStr"/>
      <c r="I813" s="139" t="n">
        <v>843.75</v>
      </c>
      <c r="J813" s="140" t="n">
        <v>38.16</v>
      </c>
      <c r="K813" s="86" t="inlineStr">
        <is>
          <t>PEN</t>
        </is>
      </c>
    </row>
    <row r="814">
      <c r="A814" s="84" t="n">
        <v>32003750</v>
      </c>
      <c r="B814" s="67" t="inlineStr">
        <is>
          <t>TPSU</t>
        </is>
      </c>
      <c r="C814" s="90" t="inlineStr">
        <is>
          <t>L001</t>
        </is>
      </c>
      <c r="D814" s="84" t="n">
        <v>1110405</v>
      </c>
      <c r="E814" s="80" t="inlineStr">
        <is>
          <t>BOTIN NEGRO DIELECT.P/COMPO. KEVLAR T-44</t>
        </is>
      </c>
      <c r="F814" s="67" t="inlineStr">
        <is>
          <t>PAR</t>
        </is>
      </c>
      <c r="G814" s="84" t="n">
        <v>1</v>
      </c>
      <c r="H814" s="57" t="inlineStr"/>
      <c r="I814" s="139" t="n">
        <v>65.18000000000001</v>
      </c>
      <c r="J814" s="140" t="n">
        <v>31.87</v>
      </c>
      <c r="K814" s="86" t="inlineStr">
        <is>
          <t>PEN</t>
        </is>
      </c>
    </row>
    <row r="815">
      <c r="A815" s="84" t="n">
        <v>32003751</v>
      </c>
      <c r="B815" s="67" t="inlineStr">
        <is>
          <t>TPSU</t>
        </is>
      </c>
      <c r="C815" s="90" t="inlineStr">
        <is>
          <t>L001</t>
        </is>
      </c>
      <c r="D815" s="84" t="n">
        <v>1110405</v>
      </c>
      <c r="E815" s="80" t="inlineStr">
        <is>
          <t>BOTIN NEGRO DIELECT.P/COMPO. KEVLAR T-45</t>
        </is>
      </c>
      <c r="F815" s="67" t="inlineStr">
        <is>
          <t>PAR</t>
        </is>
      </c>
      <c r="G815" s="84" t="n">
        <v>1</v>
      </c>
      <c r="H815" s="57" t="inlineStr"/>
      <c r="I815" s="139" t="n">
        <v>92.84999999999999</v>
      </c>
      <c r="J815" s="140" t="n">
        <v>34.9975</v>
      </c>
      <c r="K815" s="86" t="inlineStr">
        <is>
          <t>PEN</t>
        </is>
      </c>
    </row>
    <row r="816">
      <c r="A816" s="84" t="n">
        <v>32006563</v>
      </c>
      <c r="B816" s="67" t="inlineStr">
        <is>
          <t>TPSU</t>
        </is>
      </c>
      <c r="C816" s="90" t="inlineStr">
        <is>
          <t>L001</t>
        </is>
      </c>
      <c r="D816" s="84" t="n">
        <v>1110701</v>
      </c>
      <c r="E816" s="80" t="inlineStr">
        <is>
          <t>BOTIN NEGRO P/ACERO KEVLAR T-39 PESCA</t>
        </is>
      </c>
      <c r="F816" s="67" t="inlineStr">
        <is>
          <t>PAR</t>
        </is>
      </c>
      <c r="G816" s="84" t="n">
        <v>1</v>
      </c>
      <c r="H816" s="57" t="inlineStr"/>
      <c r="I816" s="139" t="n">
        <v>68.59999999999999</v>
      </c>
      <c r="J816" s="140" t="n">
        <v>6.99</v>
      </c>
      <c r="K816" s="86" t="inlineStr">
        <is>
          <t>PEN</t>
        </is>
      </c>
    </row>
    <row r="817">
      <c r="A817" s="84" t="n">
        <v>32003645</v>
      </c>
      <c r="B817" s="67" t="inlineStr">
        <is>
          <t>TPSU</t>
        </is>
      </c>
      <c r="C817" s="90" t="inlineStr">
        <is>
          <t>L001</t>
        </is>
      </c>
      <c r="D817" s="84" t="n">
        <v>1110702</v>
      </c>
      <c r="E817" s="80" t="inlineStr">
        <is>
          <t>BOTIN AMARILLO P/ACERO KEVLAR T-39</t>
        </is>
      </c>
      <c r="F817" s="67" t="inlineStr">
        <is>
          <t>PAR</t>
        </is>
      </c>
      <c r="G817" s="84" t="n">
        <v>1</v>
      </c>
      <c r="H817" s="57" t="inlineStr"/>
      <c r="I817" s="139" t="n">
        <v>68.59999999999999</v>
      </c>
      <c r="J817" s="140" t="n">
        <v>6.989999999999999</v>
      </c>
      <c r="K817" s="86" t="inlineStr">
        <is>
          <t>PEN</t>
        </is>
      </c>
    </row>
    <row r="818">
      <c r="A818" s="84" t="n">
        <v>32003650</v>
      </c>
      <c r="B818" s="82" t="inlineStr">
        <is>
          <t>TPSU</t>
        </is>
      </c>
      <c r="C818" s="82" t="inlineStr">
        <is>
          <t>L001</t>
        </is>
      </c>
      <c r="D818" s="84" t="n">
        <v>1110703</v>
      </c>
      <c r="E818" s="80" t="inlineStr">
        <is>
          <t>BOTIN AMARILLO P/ACERO KEVLAR T-44</t>
        </is>
      </c>
      <c r="F818" s="67" t="inlineStr">
        <is>
          <t>PAR</t>
        </is>
      </c>
      <c r="G818" s="84" t="n">
        <v>12</v>
      </c>
      <c r="H818" s="57" t="inlineStr"/>
      <c r="I818" s="139" t="n">
        <v>1175.76</v>
      </c>
      <c r="J818" s="140" t="n">
        <v>9.226666666666667</v>
      </c>
      <c r="K818" s="86" t="inlineStr">
        <is>
          <t>PEN</t>
        </is>
      </c>
    </row>
    <row r="819">
      <c r="A819" s="84" t="n">
        <v>32003651</v>
      </c>
      <c r="B819" s="67" t="inlineStr">
        <is>
          <t>TPSU</t>
        </is>
      </c>
      <c r="C819" s="90" t="inlineStr">
        <is>
          <t>L001</t>
        </is>
      </c>
      <c r="D819" s="84" t="n">
        <v>1110704</v>
      </c>
      <c r="E819" s="80" t="inlineStr">
        <is>
          <t>BOTIN AMARILLO P/ACERO KEVLAR T-45</t>
        </is>
      </c>
      <c r="F819" s="67" t="inlineStr">
        <is>
          <t>PAR</t>
        </is>
      </c>
      <c r="G819" s="84" t="n">
        <v>2</v>
      </c>
      <c r="H819" s="57" t="inlineStr"/>
      <c r="I819" s="139" t="n">
        <v>195.96</v>
      </c>
      <c r="J819" s="140" t="n">
        <v>9.783333333333333</v>
      </c>
      <c r="K819" s="86" t="inlineStr">
        <is>
          <t>PEN</t>
        </is>
      </c>
    </row>
    <row r="820">
      <c r="A820" s="84" t="n">
        <v>32003653</v>
      </c>
      <c r="B820" s="67" t="inlineStr">
        <is>
          <t>TPSU</t>
        </is>
      </c>
      <c r="C820" s="90" t="inlineStr">
        <is>
          <t>L001</t>
        </is>
      </c>
      <c r="D820" s="84" t="n">
        <v>1110704</v>
      </c>
      <c r="E820" s="80" t="inlineStr">
        <is>
          <t>BOTIN AMARILLO P/ACERO KEVLAR T-47</t>
        </is>
      </c>
      <c r="F820" s="67" t="inlineStr">
        <is>
          <t>PAR</t>
        </is>
      </c>
      <c r="G820" s="84" t="n">
        <v>1</v>
      </c>
      <c r="H820" s="57" t="inlineStr"/>
      <c r="I820" s="139" t="n">
        <v>73.09999999999999</v>
      </c>
      <c r="J820" s="140" t="n">
        <v>8.91</v>
      </c>
      <c r="K820" s="86" t="inlineStr">
        <is>
          <t>PEN</t>
        </is>
      </c>
    </row>
    <row r="821">
      <c r="A821" s="84" t="n">
        <v>32003646</v>
      </c>
      <c r="B821" s="67" t="inlineStr">
        <is>
          <t>TPSU</t>
        </is>
      </c>
      <c r="C821" s="90" t="inlineStr">
        <is>
          <t>L001</t>
        </is>
      </c>
      <c r="D821" s="84" t="n">
        <v>1110801</v>
      </c>
      <c r="E821" s="80" t="inlineStr">
        <is>
          <t>BOTIN AMARILLO P/ACERO KEVLAR T-40</t>
        </is>
      </c>
      <c r="F821" s="67" t="inlineStr">
        <is>
          <t>PAR</t>
        </is>
      </c>
      <c r="G821" s="84" t="n">
        <v>9</v>
      </c>
      <c r="H821" s="57" t="inlineStr"/>
      <c r="I821" s="139" t="n">
        <v>644.6799999999999</v>
      </c>
      <c r="J821" s="140" t="n">
        <v>14.1825</v>
      </c>
      <c r="K821" s="86" t="inlineStr">
        <is>
          <t>PEN</t>
        </is>
      </c>
    </row>
    <row r="822">
      <c r="A822" s="84" t="n">
        <v>32003647</v>
      </c>
      <c r="B822" s="67" t="inlineStr">
        <is>
          <t>TPSU</t>
        </is>
      </c>
      <c r="C822" s="90" t="inlineStr">
        <is>
          <t>L001</t>
        </is>
      </c>
      <c r="D822" s="84" t="n">
        <v>1110802</v>
      </c>
      <c r="E822" s="80" t="inlineStr">
        <is>
          <t>BOTIN AMARILLO P/ACERO KEVLAR T-41</t>
        </is>
      </c>
      <c r="F822" s="67" t="inlineStr">
        <is>
          <t>PAR</t>
        </is>
      </c>
      <c r="G822" s="84" t="n">
        <v>6</v>
      </c>
      <c r="H822" s="57" t="inlineStr"/>
      <c r="I822" s="139" t="n">
        <v>438.6</v>
      </c>
      <c r="J822" s="140" t="n">
        <v>18.958</v>
      </c>
      <c r="K822" s="86" t="inlineStr">
        <is>
          <t>PEN</t>
        </is>
      </c>
    </row>
    <row r="823">
      <c r="A823" s="84" t="n">
        <v>32003648</v>
      </c>
      <c r="B823" s="67" t="inlineStr">
        <is>
          <t>TPSU</t>
        </is>
      </c>
      <c r="C823" s="90" t="inlineStr">
        <is>
          <t>L001</t>
        </is>
      </c>
      <c r="D823" s="84" t="n">
        <v>1110803</v>
      </c>
      <c r="E823" s="80" t="inlineStr">
        <is>
          <t>BOTIN AMARILLO P/ACERO KEVLAR T-42</t>
        </is>
      </c>
      <c r="F823" s="67" t="inlineStr">
        <is>
          <t>PAR</t>
        </is>
      </c>
      <c r="G823" s="84" t="n">
        <v>14</v>
      </c>
      <c r="H823" s="57" t="inlineStr"/>
      <c r="I823" s="139" t="n">
        <v>1371.72</v>
      </c>
      <c r="J823" s="140" t="n">
        <v>21.775</v>
      </c>
      <c r="K823" s="86" t="inlineStr">
        <is>
          <t>PEN</t>
        </is>
      </c>
    </row>
    <row r="824">
      <c r="A824" s="84" t="n">
        <v>32003649</v>
      </c>
      <c r="B824" s="67" t="inlineStr">
        <is>
          <t>TPSU</t>
        </is>
      </c>
      <c r="C824" s="90" t="inlineStr">
        <is>
          <t>L001</t>
        </is>
      </c>
      <c r="D824" s="84" t="n">
        <v>1110804</v>
      </c>
      <c r="E824" s="80" t="inlineStr">
        <is>
          <t>BOTIN AMARILLO P/ACERO KEVLAR T-43</t>
        </is>
      </c>
      <c r="F824" s="67" t="inlineStr">
        <is>
          <t>PAR</t>
        </is>
      </c>
      <c r="G824" s="84" t="n">
        <v>16</v>
      </c>
      <c r="H824" s="57" t="inlineStr"/>
      <c r="I824" s="139" t="n">
        <v>1567.68</v>
      </c>
      <c r="J824" s="140" t="n">
        <v>21.775</v>
      </c>
      <c r="K824" s="86" t="inlineStr">
        <is>
          <t>PEN</t>
        </is>
      </c>
    </row>
    <row r="825">
      <c r="A825" s="84" t="n">
        <v>33032388</v>
      </c>
      <c r="B825" s="67" t="inlineStr">
        <is>
          <t>TPSU</t>
        </is>
      </c>
      <c r="C825" s="90" t="inlineStr">
        <is>
          <t>L001</t>
        </is>
      </c>
      <c r="D825" s="84" t="n">
        <v>1120101</v>
      </c>
      <c r="E825" s="80" t="inlineStr">
        <is>
          <t>FAJA 1040-8M-30GT</t>
        </is>
      </c>
      <c r="F825" s="67" t="inlineStr">
        <is>
          <t>UN</t>
        </is>
      </c>
      <c r="G825" s="84" t="n">
        <v>1</v>
      </c>
      <c r="H825" s="57" t="inlineStr">
        <is>
          <t>GR40674474</t>
        </is>
      </c>
      <c r="I825" s="139" t="n">
        <v>49.47</v>
      </c>
      <c r="J825" s="140" t="n">
        <v>83.86799999999999</v>
      </c>
      <c r="K825" s="86" t="inlineStr">
        <is>
          <t>PEN</t>
        </is>
      </c>
    </row>
    <row r="826">
      <c r="A826" s="84" t="n">
        <v>33032459</v>
      </c>
      <c r="B826" s="67" t="inlineStr">
        <is>
          <t>TPSU</t>
        </is>
      </c>
      <c r="C826" s="90" t="inlineStr">
        <is>
          <t>L001</t>
        </is>
      </c>
      <c r="D826" s="84" t="n">
        <v>1120101</v>
      </c>
      <c r="E826" s="80" t="inlineStr">
        <is>
          <t>FAJA 800-8M-30GT</t>
        </is>
      </c>
      <c r="F826" s="67" t="inlineStr">
        <is>
          <t>UN</t>
        </is>
      </c>
      <c r="G826" s="84" t="n">
        <v>1</v>
      </c>
      <c r="H826" s="57" t="inlineStr">
        <is>
          <t>GR0709249</t>
        </is>
      </c>
      <c r="I826" s="139" t="n">
        <v>40.66</v>
      </c>
      <c r="J826" s="140" t="n">
        <v>83.86799999999999</v>
      </c>
      <c r="K826" s="86" t="inlineStr">
        <is>
          <t>PEN</t>
        </is>
      </c>
    </row>
    <row r="827">
      <c r="A827" s="84" t="n">
        <v>33032460</v>
      </c>
      <c r="B827" s="67" t="inlineStr">
        <is>
          <t>TPSU</t>
        </is>
      </c>
      <c r="C827" s="90" t="inlineStr">
        <is>
          <t>L004</t>
        </is>
      </c>
      <c r="D827" s="84" t="n">
        <v>1120101</v>
      </c>
      <c r="E827" s="80" t="inlineStr">
        <is>
          <t>FAJA 880-8MGT-30</t>
        </is>
      </c>
      <c r="F827" s="67" t="inlineStr">
        <is>
          <t>UN</t>
        </is>
      </c>
      <c r="G827" s="84" t="n">
        <v>1</v>
      </c>
      <c r="H827" s="57" t="inlineStr">
        <is>
          <t>G04-699313</t>
        </is>
      </c>
      <c r="I827" s="139" t="n">
        <v>43.41</v>
      </c>
      <c r="J827" s="140" t="n">
        <v>45.97</v>
      </c>
      <c r="K827" s="86" t="inlineStr">
        <is>
          <t>PEN</t>
        </is>
      </c>
    </row>
    <row r="828">
      <c r="A828" s="84" t="n">
        <v>33032575</v>
      </c>
      <c r="B828" s="67" t="inlineStr">
        <is>
          <t>TPSU</t>
        </is>
      </c>
      <c r="C828" s="90" t="inlineStr">
        <is>
          <t>L004</t>
        </is>
      </c>
      <c r="D828" s="84" t="n">
        <v>1120101</v>
      </c>
      <c r="E828" s="80" t="inlineStr">
        <is>
          <t>FAJA V 3V-850</t>
        </is>
      </c>
      <c r="F828" s="67" t="inlineStr">
        <is>
          <t>UN</t>
        </is>
      </c>
      <c r="G828" s="84" t="n">
        <v>1</v>
      </c>
      <c r="H828" s="57" t="inlineStr">
        <is>
          <t>G040622581</t>
        </is>
      </c>
      <c r="I828" s="139" t="n">
        <v>21.48</v>
      </c>
      <c r="J828" s="140" t="n">
        <v>47.14</v>
      </c>
      <c r="K828" s="86" t="inlineStr">
        <is>
          <t>PEN</t>
        </is>
      </c>
    </row>
    <row r="829">
      <c r="A829" s="84" t="n">
        <v>33032480</v>
      </c>
      <c r="B829" s="67" t="inlineStr">
        <is>
          <t>TPSU</t>
        </is>
      </c>
      <c r="C829" s="90" t="inlineStr">
        <is>
          <t>L001</t>
        </is>
      </c>
      <c r="D829" s="84" t="n">
        <v>1120102</v>
      </c>
      <c r="E829" s="80" t="inlineStr">
        <is>
          <t>FAJA A54</t>
        </is>
      </c>
      <c r="F829" s="67" t="inlineStr">
        <is>
          <t>UN</t>
        </is>
      </c>
      <c r="G829" s="84" t="n">
        <v>12</v>
      </c>
      <c r="H829" s="57" t="inlineStr">
        <is>
          <t>GR004-0853</t>
        </is>
      </c>
      <c r="I829" s="139" t="n">
        <v>158.34</v>
      </c>
      <c r="J829" s="140" t="n">
        <v>38.52</v>
      </c>
      <c r="K829" s="86" t="inlineStr">
        <is>
          <t>PEN</t>
        </is>
      </c>
    </row>
    <row r="830">
      <c r="A830" s="84" t="n">
        <v>33032481</v>
      </c>
      <c r="B830" s="67" t="inlineStr">
        <is>
          <t>TPSU</t>
        </is>
      </c>
      <c r="C830" s="90" t="inlineStr">
        <is>
          <t>L001</t>
        </is>
      </c>
      <c r="D830" s="84" t="n">
        <v>1120102</v>
      </c>
      <c r="E830" s="80" t="inlineStr">
        <is>
          <t>FAJA A60</t>
        </is>
      </c>
      <c r="F830" s="67" t="inlineStr">
        <is>
          <t>UN</t>
        </is>
      </c>
      <c r="G830" s="84" t="n">
        <v>2</v>
      </c>
      <c r="H830" s="57" t="inlineStr">
        <is>
          <t>G40797382</t>
        </is>
      </c>
      <c r="I830" s="139" t="n">
        <v>28.07</v>
      </c>
      <c r="J830" s="140" t="n">
        <v>10.67</v>
      </c>
      <c r="K830" s="86" t="inlineStr">
        <is>
          <t>PEN</t>
        </is>
      </c>
    </row>
    <row r="831">
      <c r="A831" s="84" t="n">
        <v>33032629</v>
      </c>
      <c r="B831" s="67" t="inlineStr">
        <is>
          <t>TPSU</t>
        </is>
      </c>
      <c r="C831" s="90" t="inlineStr">
        <is>
          <t>L001</t>
        </is>
      </c>
      <c r="D831" s="84" t="n">
        <v>1120102</v>
      </c>
      <c r="E831" s="80" t="inlineStr">
        <is>
          <t>FAJA V B-36</t>
        </is>
      </c>
      <c r="F831" s="67" t="inlineStr">
        <is>
          <t>UN</t>
        </is>
      </c>
      <c r="G831" s="84" t="n">
        <v>1</v>
      </c>
      <c r="H831" s="57" t="inlineStr">
        <is>
          <t>GR-471919</t>
        </is>
      </c>
      <c r="I831" s="139" t="n">
        <v>10.2</v>
      </c>
      <c r="J831" s="140" t="n">
        <v>22.225</v>
      </c>
      <c r="K831" s="86" t="inlineStr">
        <is>
          <t>PEN</t>
        </is>
      </c>
    </row>
    <row r="832">
      <c r="A832" s="84" t="n">
        <v>33040361</v>
      </c>
      <c r="B832" s="67" t="inlineStr">
        <is>
          <t>TPSU</t>
        </is>
      </c>
      <c r="C832" s="90" t="inlineStr">
        <is>
          <t>L001</t>
        </is>
      </c>
      <c r="D832" s="84" t="n">
        <v>1120103</v>
      </c>
      <c r="E832" s="80" t="inlineStr">
        <is>
          <t>FAJA V B-86</t>
        </is>
      </c>
      <c r="F832" s="67" t="inlineStr">
        <is>
          <t>UN</t>
        </is>
      </c>
      <c r="G832" s="84" t="n">
        <v>3</v>
      </c>
      <c r="H832" s="57" t="inlineStr">
        <is>
          <t>004-625161</t>
        </is>
      </c>
      <c r="I832" s="139" t="n">
        <v>69.88</v>
      </c>
      <c r="J832" s="140" t="n">
        <v>18.215</v>
      </c>
      <c r="K832" s="86" t="inlineStr">
        <is>
          <t>PEN</t>
        </is>
      </c>
    </row>
    <row r="833">
      <c r="A833" s="84" t="n">
        <v>33040361</v>
      </c>
      <c r="B833" s="67" t="inlineStr">
        <is>
          <t>TPSU</t>
        </is>
      </c>
      <c r="C833" s="90" t="inlineStr">
        <is>
          <t>L001</t>
        </is>
      </c>
      <c r="D833" s="84" t="n">
        <v>1120103</v>
      </c>
      <c r="E833" s="80" t="inlineStr">
        <is>
          <t>FAJA V B-86</t>
        </is>
      </c>
      <c r="F833" s="67" t="inlineStr">
        <is>
          <t>UN</t>
        </is>
      </c>
      <c r="G833" s="84" t="n">
        <v>1</v>
      </c>
      <c r="H833" s="57" t="inlineStr">
        <is>
          <t>GR4609955</t>
        </is>
      </c>
      <c r="I833" s="139" t="n">
        <v>23.29</v>
      </c>
      <c r="J833" s="140" t="n">
        <v>18.5625</v>
      </c>
      <c r="K833" s="86" t="inlineStr">
        <is>
          <t>PEN</t>
        </is>
      </c>
    </row>
    <row r="834">
      <c r="A834" s="84" t="n">
        <v>33032661</v>
      </c>
      <c r="B834" s="67" t="inlineStr">
        <is>
          <t>TPSU</t>
        </is>
      </c>
      <c r="C834" s="90" t="inlineStr">
        <is>
          <t>L001</t>
        </is>
      </c>
      <c r="D834" s="84" t="n">
        <v>1120103</v>
      </c>
      <c r="E834" s="80" t="inlineStr">
        <is>
          <t>FAJA V B-95</t>
        </is>
      </c>
      <c r="F834" s="67" t="inlineStr">
        <is>
          <t>UN</t>
        </is>
      </c>
      <c r="G834" s="84" t="n">
        <v>2</v>
      </c>
      <c r="H834" s="57" t="inlineStr">
        <is>
          <t>GR40618800</t>
        </is>
      </c>
      <c r="I834" s="139" t="n">
        <v>49.41</v>
      </c>
      <c r="J834" s="140" t="n">
        <v>148.685</v>
      </c>
      <c r="K834" s="86" t="inlineStr">
        <is>
          <t>PEN</t>
        </is>
      </c>
    </row>
    <row r="835">
      <c r="A835" s="84" t="n">
        <v>33032661</v>
      </c>
      <c r="B835" s="67" t="inlineStr">
        <is>
          <t>TPSU</t>
        </is>
      </c>
      <c r="C835" s="90" t="inlineStr">
        <is>
          <t>L001</t>
        </is>
      </c>
      <c r="D835" s="84" t="n">
        <v>1120103</v>
      </c>
      <c r="E835" s="141" t="inlineStr">
        <is>
          <t>FAJA V B-95</t>
        </is>
      </c>
      <c r="F835" s="67" t="inlineStr">
        <is>
          <t>UN</t>
        </is>
      </c>
      <c r="G835" s="84" t="n">
        <v>3</v>
      </c>
      <c r="H835" s="57" t="inlineStr">
        <is>
          <t>GR40675109</t>
        </is>
      </c>
      <c r="I835" s="139" t="n">
        <v>74.12</v>
      </c>
      <c r="J835" s="140" t="n">
        <v>148.68</v>
      </c>
      <c r="K835" s="86" t="inlineStr">
        <is>
          <t>PEN</t>
        </is>
      </c>
    </row>
    <row r="836">
      <c r="A836" s="84" t="n">
        <v>33032431</v>
      </c>
      <c r="B836" s="67" t="inlineStr">
        <is>
          <t>TPSU</t>
        </is>
      </c>
      <c r="C836" s="90" t="inlineStr">
        <is>
          <t>L001</t>
        </is>
      </c>
      <c r="D836" s="84" t="n">
        <v>1120104</v>
      </c>
      <c r="E836" s="141" t="inlineStr">
        <is>
          <t>FAJA 5V560</t>
        </is>
      </c>
      <c r="F836" s="67" t="inlineStr">
        <is>
          <t>UN</t>
        </is>
      </c>
      <c r="G836" s="84" t="n">
        <v>3</v>
      </c>
      <c r="H836" s="57" t="inlineStr">
        <is>
          <t>G04-532300</t>
        </is>
      </c>
      <c r="I836" s="139" t="n">
        <v>66.95</v>
      </c>
      <c r="J836" s="140" t="n">
        <v>163.89</v>
      </c>
      <c r="K836" s="86" t="inlineStr">
        <is>
          <t>PEN</t>
        </is>
      </c>
    </row>
    <row r="837">
      <c r="A837" s="84" t="n">
        <v>33032436</v>
      </c>
      <c r="B837" s="67" t="inlineStr">
        <is>
          <t>TPSU</t>
        </is>
      </c>
      <c r="C837" s="90" t="inlineStr">
        <is>
          <t>L001</t>
        </is>
      </c>
      <c r="D837" s="84" t="n">
        <v>1120104</v>
      </c>
      <c r="E837" s="141" t="inlineStr">
        <is>
          <t>FAJA 5V750</t>
        </is>
      </c>
      <c r="F837" s="67" t="inlineStr">
        <is>
          <t>UN</t>
        </is>
      </c>
      <c r="G837" s="84" t="n">
        <v>5</v>
      </c>
      <c r="H837" s="57" t="inlineStr">
        <is>
          <t>G4765006</t>
        </is>
      </c>
      <c r="I837" s="139" t="n">
        <v>180.6</v>
      </c>
      <c r="J837" s="140" t="n">
        <v>22.22</v>
      </c>
      <c r="K837" s="86" t="inlineStr">
        <is>
          <t>PEN</t>
        </is>
      </c>
    </row>
    <row r="838">
      <c r="A838" s="84" t="n">
        <v>33032436</v>
      </c>
      <c r="B838" s="67" t="inlineStr">
        <is>
          <t>TPSU</t>
        </is>
      </c>
      <c r="C838" s="90" t="inlineStr">
        <is>
          <t>L001</t>
        </is>
      </c>
      <c r="D838" s="84" t="n">
        <v>1120104</v>
      </c>
      <c r="E838" s="80" t="inlineStr">
        <is>
          <t>FAJA 5V750</t>
        </is>
      </c>
      <c r="F838" s="67" t="inlineStr">
        <is>
          <t>UN</t>
        </is>
      </c>
      <c r="G838" s="84" t="n">
        <v>2</v>
      </c>
      <c r="H838" s="57" t="inlineStr">
        <is>
          <t>G4802399</t>
        </is>
      </c>
      <c r="I838" s="139" t="n">
        <v>72.23999999999999</v>
      </c>
      <c r="J838" s="140" t="n">
        <v>86.5</v>
      </c>
      <c r="K838" s="86" t="inlineStr">
        <is>
          <t>PEN</t>
        </is>
      </c>
    </row>
    <row r="839">
      <c r="A839" s="84" t="n">
        <v>33040347</v>
      </c>
      <c r="B839" s="67" t="inlineStr">
        <is>
          <t>TPSU</t>
        </is>
      </c>
      <c r="C839" s="90" t="inlineStr">
        <is>
          <t>L001</t>
        </is>
      </c>
      <c r="D839" s="84" t="n">
        <v>1120104</v>
      </c>
      <c r="E839" s="80" t="inlineStr">
        <is>
          <t>FAJA 5VX670</t>
        </is>
      </c>
      <c r="F839" s="67" t="inlineStr">
        <is>
          <t>UN</t>
        </is>
      </c>
      <c r="G839" s="84" t="n">
        <v>6</v>
      </c>
      <c r="H839" s="57" t="inlineStr">
        <is>
          <t>15.02.2022</t>
        </is>
      </c>
      <c r="I839" s="139" t="n">
        <v>257.61</v>
      </c>
      <c r="J839" s="140" t="n">
        <v>86.5</v>
      </c>
      <c r="K839" s="86" t="inlineStr">
        <is>
          <t>PEN</t>
        </is>
      </c>
    </row>
    <row r="840">
      <c r="A840" s="84" t="n">
        <v>33044908</v>
      </c>
      <c r="B840" s="67" t="inlineStr">
        <is>
          <t>TPSU</t>
        </is>
      </c>
      <c r="C840" s="90" t="inlineStr">
        <is>
          <t>L001</t>
        </is>
      </c>
      <c r="D840" s="84" t="n">
        <v>1120105</v>
      </c>
      <c r="E840" s="80" t="inlineStr">
        <is>
          <t>FAJA 5V2800</t>
        </is>
      </c>
      <c r="F840" s="67" t="inlineStr">
        <is>
          <t>UN</t>
        </is>
      </c>
      <c r="G840" s="84" t="n">
        <v>8</v>
      </c>
      <c r="H840" s="57" t="inlineStr"/>
      <c r="I840" s="139" t="n">
        <v>938.13</v>
      </c>
      <c r="J840" s="140" t="n">
        <v>47.59</v>
      </c>
      <c r="K840" s="86" t="inlineStr">
        <is>
          <t>PEN</t>
        </is>
      </c>
    </row>
    <row r="841">
      <c r="A841" s="84" t="n">
        <v>33032466</v>
      </c>
      <c r="B841" s="67" t="inlineStr">
        <is>
          <t>TPSU</t>
        </is>
      </c>
      <c r="C841" s="90" t="inlineStr">
        <is>
          <t>L001</t>
        </is>
      </c>
      <c r="D841" s="84" t="n">
        <v>1120201</v>
      </c>
      <c r="E841" s="80" t="inlineStr">
        <is>
          <t>FAJA 9.5 X 1050</t>
        </is>
      </c>
      <c r="F841" s="67" t="inlineStr">
        <is>
          <t>UN</t>
        </is>
      </c>
      <c r="G841" s="84" t="n">
        <v>8</v>
      </c>
      <c r="H841" s="57" t="inlineStr">
        <is>
          <t>GR004-0853</t>
        </is>
      </c>
      <c r="I841" s="139" t="n">
        <v>53.55</v>
      </c>
      <c r="J841" s="140" t="n">
        <v>47.59111111111111</v>
      </c>
      <c r="K841" s="86" t="inlineStr">
        <is>
          <t>PEN</t>
        </is>
      </c>
    </row>
    <row r="842">
      <c r="A842" s="84" t="n">
        <v>33032478</v>
      </c>
      <c r="B842" s="67" t="inlineStr">
        <is>
          <t>TPSU</t>
        </is>
      </c>
      <c r="C842" s="90" t="inlineStr">
        <is>
          <t>L001</t>
        </is>
      </c>
      <c r="D842" s="84" t="n">
        <v>1120201</v>
      </c>
      <c r="E842" s="80" t="inlineStr">
        <is>
          <t>FAJA 960-8M-30GT</t>
        </is>
      </c>
      <c r="F842" s="67" t="inlineStr">
        <is>
          <t>UN</t>
        </is>
      </c>
      <c r="G842" s="84" t="n">
        <v>1</v>
      </c>
      <c r="H842" s="57" t="inlineStr">
        <is>
          <t>G040672300</t>
        </is>
      </c>
      <c r="I842" s="139" t="n">
        <v>42.98</v>
      </c>
      <c r="J842" s="140" t="n">
        <v>69.27903682719548</v>
      </c>
      <c r="K842" s="86" t="inlineStr">
        <is>
          <t>PEN</t>
        </is>
      </c>
    </row>
    <row r="843">
      <c r="A843" s="84" t="n">
        <v>33032478</v>
      </c>
      <c r="B843" s="67" t="inlineStr">
        <is>
          <t>TPSU</t>
        </is>
      </c>
      <c r="C843" s="90" t="inlineStr">
        <is>
          <t>L001</t>
        </is>
      </c>
      <c r="D843" s="84" t="n">
        <v>1120201</v>
      </c>
      <c r="E843" s="80" t="inlineStr">
        <is>
          <t>FAJA 960-8M-30GT</t>
        </is>
      </c>
      <c r="F843" s="67" t="inlineStr">
        <is>
          <t>UN</t>
        </is>
      </c>
      <c r="G843" s="84" t="n">
        <v>1</v>
      </c>
      <c r="H843" s="57" t="inlineStr">
        <is>
          <t>GR0709249</t>
        </is>
      </c>
      <c r="I843" s="139" t="n">
        <v>42.98</v>
      </c>
      <c r="J843" s="140" t="n">
        <v>97.175</v>
      </c>
      <c r="K843" s="86" t="inlineStr">
        <is>
          <t>PEN</t>
        </is>
      </c>
    </row>
    <row r="844">
      <c r="A844" s="84" t="n">
        <v>33032583</v>
      </c>
      <c r="B844" s="67" t="inlineStr">
        <is>
          <t>TPSU</t>
        </is>
      </c>
      <c r="C844" s="90" t="inlineStr">
        <is>
          <t>L001</t>
        </is>
      </c>
      <c r="D844" s="84" t="n">
        <v>1120201</v>
      </c>
      <c r="E844" s="80" t="inlineStr">
        <is>
          <t>FAJA V 9.5 X 1150</t>
        </is>
      </c>
      <c r="F844" s="67" t="inlineStr">
        <is>
          <t>UN</t>
        </is>
      </c>
      <c r="G844" s="84" t="n">
        <v>3</v>
      </c>
      <c r="H844" s="57" t="inlineStr">
        <is>
          <t>NUEVO</t>
        </is>
      </c>
      <c r="I844" s="139" t="n">
        <v>19.36</v>
      </c>
      <c r="J844" s="140" t="n">
        <v>97.175</v>
      </c>
      <c r="K844" s="86" t="inlineStr">
        <is>
          <t>PEN</t>
        </is>
      </c>
    </row>
    <row r="845">
      <c r="A845" s="84" t="n">
        <v>33032664</v>
      </c>
      <c r="B845" s="67" t="inlineStr">
        <is>
          <t>TPSU</t>
        </is>
      </c>
      <c r="C845" s="90" t="inlineStr">
        <is>
          <t>L001</t>
        </is>
      </c>
      <c r="D845" s="84" t="n">
        <v>1120203</v>
      </c>
      <c r="E845" s="80" t="inlineStr">
        <is>
          <t>FAJA V C-110</t>
        </is>
      </c>
      <c r="F845" s="67" t="inlineStr">
        <is>
          <t>UN</t>
        </is>
      </c>
      <c r="G845" s="84" t="n">
        <v>3</v>
      </c>
      <c r="H845" s="57" t="inlineStr">
        <is>
          <t>G040651920</t>
        </is>
      </c>
      <c r="I845" s="139" t="n">
        <v>114.48</v>
      </c>
      <c r="J845" s="140" t="n">
        <v>300</v>
      </c>
      <c r="K845" s="86" t="inlineStr">
        <is>
          <t>PEN</t>
        </is>
      </c>
    </row>
    <row r="846">
      <c r="A846" s="84" t="n">
        <v>33032437</v>
      </c>
      <c r="B846" s="67" t="inlineStr">
        <is>
          <t>TPSU</t>
        </is>
      </c>
      <c r="C846" s="90" t="inlineStr">
        <is>
          <t>L001</t>
        </is>
      </c>
      <c r="D846" s="84" t="n">
        <v>1120204</v>
      </c>
      <c r="E846" s="80" t="inlineStr">
        <is>
          <t>FAJA 5V800</t>
        </is>
      </c>
      <c r="F846" s="67" t="inlineStr">
        <is>
          <t>UN</t>
        </is>
      </c>
      <c r="G846" s="84" t="n">
        <v>3</v>
      </c>
      <c r="H846" s="57" t="inlineStr">
        <is>
          <t>GR4 679890</t>
        </is>
      </c>
      <c r="I846" s="139" t="n">
        <v>95.61</v>
      </c>
      <c r="J846" s="140" t="n">
        <v>1930</v>
      </c>
      <c r="K846" s="86" t="inlineStr">
        <is>
          <t>PEN</t>
        </is>
      </c>
    </row>
    <row r="847">
      <c r="A847" s="84" t="n">
        <v>33032438</v>
      </c>
      <c r="B847" s="67" t="inlineStr">
        <is>
          <t>TPSU</t>
        </is>
      </c>
      <c r="C847" s="90" t="inlineStr">
        <is>
          <t>L001</t>
        </is>
      </c>
      <c r="D847" s="84" t="n">
        <v>1120204</v>
      </c>
      <c r="E847" s="80" t="inlineStr">
        <is>
          <t>FAJA 5V850</t>
        </is>
      </c>
      <c r="F847" s="67" t="inlineStr">
        <is>
          <t>UN</t>
        </is>
      </c>
      <c r="G847" s="84" t="n">
        <v>4</v>
      </c>
      <c r="H847" s="57" t="inlineStr">
        <is>
          <t>GR4 673127</t>
        </is>
      </c>
      <c r="I847" s="139" t="n">
        <v>139.99</v>
      </c>
      <c r="J847" s="140" t="n">
        <v>40</v>
      </c>
      <c r="K847" s="86" t="inlineStr">
        <is>
          <t>PEN</t>
        </is>
      </c>
    </row>
    <row r="848">
      <c r="A848" s="84" t="n">
        <v>33032468</v>
      </c>
      <c r="B848" s="67" t="inlineStr">
        <is>
          <t>TPSU</t>
        </is>
      </c>
      <c r="C848" s="90" t="inlineStr">
        <is>
          <t>L001</t>
        </is>
      </c>
      <c r="D848" s="84" t="n">
        <v>1120301</v>
      </c>
      <c r="E848" s="80" t="inlineStr">
        <is>
          <t>FAJA 9.5 X 1275</t>
        </is>
      </c>
      <c r="F848" s="67" t="inlineStr">
        <is>
          <t>UN</t>
        </is>
      </c>
      <c r="G848" s="84" t="n">
        <v>1</v>
      </c>
      <c r="H848" s="57" t="inlineStr">
        <is>
          <t>01122020</t>
        </is>
      </c>
      <c r="I848" s="139" t="n">
        <v>6.99</v>
      </c>
      <c r="J848" s="140" t="n">
        <v>40</v>
      </c>
      <c r="K848" s="86" t="inlineStr">
        <is>
          <t>PEN</t>
        </is>
      </c>
    </row>
    <row r="849">
      <c r="A849" s="84" t="n">
        <v>33032468</v>
      </c>
      <c r="B849" s="67" t="inlineStr">
        <is>
          <t>TPSU</t>
        </is>
      </c>
      <c r="C849" s="90" t="inlineStr">
        <is>
          <t>L001</t>
        </is>
      </c>
      <c r="D849" s="84" t="n">
        <v>1120301</v>
      </c>
      <c r="E849" s="80" t="inlineStr">
        <is>
          <t>FAJA 9.5 X 1275</t>
        </is>
      </c>
      <c r="F849" s="67" t="inlineStr">
        <is>
          <t>UN</t>
        </is>
      </c>
      <c r="G849" s="84" t="n">
        <v>3</v>
      </c>
      <c r="H849" s="57" t="inlineStr">
        <is>
          <t>G4766588</t>
        </is>
      </c>
      <c r="I849" s="139" t="n">
        <v>20.97</v>
      </c>
      <c r="J849" s="140" t="n">
        <v>40</v>
      </c>
      <c r="K849" s="86" t="inlineStr">
        <is>
          <t>PEN</t>
        </is>
      </c>
    </row>
    <row r="850">
      <c r="A850" s="84" t="n">
        <v>33032589</v>
      </c>
      <c r="B850" s="67" t="inlineStr">
        <is>
          <t>TPSU</t>
        </is>
      </c>
      <c r="C850" s="90" t="inlineStr">
        <is>
          <t>L001</t>
        </is>
      </c>
      <c r="D850" s="84" t="n">
        <v>1120301</v>
      </c>
      <c r="E850" s="80" t="inlineStr">
        <is>
          <t>FAJA V 9.5 X 1350</t>
        </is>
      </c>
      <c r="F850" s="67" t="inlineStr">
        <is>
          <t>UN</t>
        </is>
      </c>
      <c r="G850" s="84" t="n">
        <v>3</v>
      </c>
      <c r="H850" s="57" t="inlineStr">
        <is>
          <t>01122021</t>
        </is>
      </c>
      <c r="I850" s="139" t="n">
        <v>27.68</v>
      </c>
      <c r="J850" s="140" t="n">
        <v>0.301</v>
      </c>
      <c r="K850" s="86" t="inlineStr">
        <is>
          <t>PEN</t>
        </is>
      </c>
    </row>
    <row r="851">
      <c r="A851" s="84" t="n">
        <v>33032601</v>
      </c>
      <c r="B851" s="67" t="inlineStr">
        <is>
          <t>TPSU</t>
        </is>
      </c>
      <c r="C851" s="90" t="inlineStr">
        <is>
          <t>L001</t>
        </is>
      </c>
      <c r="D851" s="84" t="n">
        <v>1120301</v>
      </c>
      <c r="E851" s="80" t="inlineStr">
        <is>
          <t>FAJA V A-40</t>
        </is>
      </c>
      <c r="F851" s="67" t="inlineStr">
        <is>
          <t>UN</t>
        </is>
      </c>
      <c r="G851" s="84" t="n">
        <v>3</v>
      </c>
      <c r="H851" s="57" t="inlineStr">
        <is>
          <t>082021</t>
        </is>
      </c>
      <c r="I851" s="139" t="n">
        <v>29.35</v>
      </c>
      <c r="J851" s="140" t="n">
        <v>350</v>
      </c>
      <c r="K851" s="86" t="inlineStr">
        <is>
          <t>PEN</t>
        </is>
      </c>
    </row>
    <row r="852">
      <c r="A852" s="84" t="n">
        <v>33042386</v>
      </c>
      <c r="B852" s="67" t="inlineStr">
        <is>
          <t>TPSU</t>
        </is>
      </c>
      <c r="C852" s="90" t="inlineStr">
        <is>
          <t>L001</t>
        </is>
      </c>
      <c r="D852" s="84" t="n">
        <v>1120301</v>
      </c>
      <c r="E852" s="80" t="inlineStr">
        <is>
          <t>FAJA V A-44</t>
        </is>
      </c>
      <c r="F852" s="67" t="inlineStr">
        <is>
          <t>UN</t>
        </is>
      </c>
      <c r="G852" s="84" t="n">
        <v>2</v>
      </c>
      <c r="H852" s="57" t="inlineStr">
        <is>
          <t>G4-672111</t>
        </is>
      </c>
      <c r="I852" s="139" t="n">
        <v>17.82</v>
      </c>
      <c r="J852" s="140" t="n">
        <v>2560</v>
      </c>
      <c r="K852" s="86" t="inlineStr">
        <is>
          <t>PEN</t>
        </is>
      </c>
    </row>
    <row r="853">
      <c r="A853" s="84" t="n">
        <v>33042409</v>
      </c>
      <c r="B853" s="67" t="inlineStr">
        <is>
          <t>TPSU</t>
        </is>
      </c>
      <c r="C853" s="90" t="inlineStr">
        <is>
          <t>L001</t>
        </is>
      </c>
      <c r="D853" s="84" t="n">
        <v>1120302</v>
      </c>
      <c r="E853" s="80" t="inlineStr">
        <is>
          <t>FAJA V B-48</t>
        </is>
      </c>
      <c r="F853" s="67" t="inlineStr">
        <is>
          <t>UN</t>
        </is>
      </c>
      <c r="G853" s="84" t="n">
        <v>4</v>
      </c>
      <c r="H853" s="57" t="inlineStr">
        <is>
          <t>G4739506</t>
        </is>
      </c>
      <c r="I853" s="139" t="n">
        <v>56.73</v>
      </c>
      <c r="J853" s="140" t="n">
        <v>143.41</v>
      </c>
      <c r="K853" s="86" t="inlineStr">
        <is>
          <t>PEN</t>
        </is>
      </c>
    </row>
    <row r="854">
      <c r="A854" s="84" t="n">
        <v>33042414</v>
      </c>
      <c r="B854" s="67" t="inlineStr">
        <is>
          <t>TPSU</t>
        </is>
      </c>
      <c r="C854" s="90" t="inlineStr">
        <is>
          <t>L001</t>
        </is>
      </c>
      <c r="D854" s="84" t="n">
        <v>1120302</v>
      </c>
      <c r="E854" s="80" t="inlineStr">
        <is>
          <t>FAJA V B-54</t>
        </is>
      </c>
      <c r="F854" s="67" t="inlineStr">
        <is>
          <t>UN</t>
        </is>
      </c>
      <c r="G854" s="84" t="n">
        <v>5</v>
      </c>
      <c r="H854" s="57" t="inlineStr">
        <is>
          <t>01012022</t>
        </is>
      </c>
      <c r="I854" s="139" t="n">
        <v>94.79000000000001</v>
      </c>
      <c r="J854" s="140" t="n">
        <v>114.0708333333333</v>
      </c>
      <c r="K854" s="86" t="inlineStr">
        <is>
          <t>PEN</t>
        </is>
      </c>
    </row>
    <row r="855">
      <c r="A855" s="84" t="n">
        <v>33042421</v>
      </c>
      <c r="B855" s="82" t="inlineStr">
        <is>
          <t>TPSU</t>
        </is>
      </c>
      <c r="C855" s="82" t="inlineStr">
        <is>
          <t>L001</t>
        </is>
      </c>
      <c r="D855" s="84" t="n">
        <v>1120302</v>
      </c>
      <c r="E855" s="80" t="inlineStr">
        <is>
          <t>FAJA V B-68</t>
        </is>
      </c>
      <c r="F855" s="67" t="inlineStr">
        <is>
          <t>UN</t>
        </is>
      </c>
      <c r="G855" s="84" t="n">
        <v>6</v>
      </c>
      <c r="H855" s="57" t="inlineStr">
        <is>
          <t>G4816777</t>
        </is>
      </c>
      <c r="I855" s="139" t="n">
        <v>130.65</v>
      </c>
      <c r="J855" s="140" t="n">
        <v>40.10166666666667</v>
      </c>
      <c r="K855" s="86" t="inlineStr">
        <is>
          <t>PEN</t>
        </is>
      </c>
    </row>
    <row r="856">
      <c r="A856" s="84" t="n">
        <v>33042421</v>
      </c>
      <c r="B856" s="67" t="inlineStr">
        <is>
          <t>TPSU</t>
        </is>
      </c>
      <c r="C856" s="90" t="inlineStr">
        <is>
          <t>L001</t>
        </is>
      </c>
      <c r="D856" s="84" t="n">
        <v>1120302</v>
      </c>
      <c r="E856" s="80" t="inlineStr">
        <is>
          <t>FAJA V B-68</t>
        </is>
      </c>
      <c r="F856" s="67" t="inlineStr">
        <is>
          <t>UN</t>
        </is>
      </c>
      <c r="G856" s="84" t="n">
        <v>2</v>
      </c>
      <c r="H856" s="57" t="inlineStr">
        <is>
          <t>GR004-0853</t>
        </is>
      </c>
      <c r="I856" s="139" t="n">
        <v>43.55</v>
      </c>
      <c r="J856" s="140" t="n">
        <v>39.72583333333333</v>
      </c>
      <c r="K856" s="86" t="inlineStr">
        <is>
          <t>PEN</t>
        </is>
      </c>
    </row>
    <row r="857">
      <c r="A857" s="84" t="n">
        <v>33040355</v>
      </c>
      <c r="B857" s="67" t="inlineStr">
        <is>
          <t>TPSU</t>
        </is>
      </c>
      <c r="C857" s="90" t="inlineStr">
        <is>
          <t>L001</t>
        </is>
      </c>
      <c r="D857" s="84" t="n">
        <v>1120303</v>
      </c>
      <c r="E857" s="80" t="inlineStr">
        <is>
          <t>FAJA SPC3550</t>
        </is>
      </c>
      <c r="F857" s="67" t="inlineStr">
        <is>
          <t>UN</t>
        </is>
      </c>
      <c r="G857" s="84" t="n">
        <v>5</v>
      </c>
      <c r="H857" s="57" t="inlineStr">
        <is>
          <t>01.11.2018</t>
        </is>
      </c>
      <c r="I857" s="139" t="n">
        <v>419.34</v>
      </c>
      <c r="J857" s="140" t="n">
        <v>264.655</v>
      </c>
      <c r="K857" s="86" t="inlineStr">
        <is>
          <t>PEN</t>
        </is>
      </c>
    </row>
    <row r="858">
      <c r="A858" s="84" t="n">
        <v>33040355</v>
      </c>
      <c r="B858" s="67" t="inlineStr">
        <is>
          <t>TPSU</t>
        </is>
      </c>
      <c r="C858" s="90" t="inlineStr">
        <is>
          <t>L001</t>
        </is>
      </c>
      <c r="D858" s="84" t="n">
        <v>1120303</v>
      </c>
      <c r="E858" s="80" t="inlineStr">
        <is>
          <t>FAJA SPC3550</t>
        </is>
      </c>
      <c r="F858" s="67" t="inlineStr">
        <is>
          <t>UN</t>
        </is>
      </c>
      <c r="G858" s="84" t="n">
        <v>5</v>
      </c>
      <c r="H858" s="57" t="inlineStr">
        <is>
          <t>GR40650273</t>
        </is>
      </c>
      <c r="I858" s="139" t="n">
        <v>419.34</v>
      </c>
      <c r="J858" s="140" t="n">
        <v>36.2</v>
      </c>
      <c r="K858" s="86" t="inlineStr">
        <is>
          <t>PEN</t>
        </is>
      </c>
    </row>
    <row r="859">
      <c r="A859" s="84" t="n">
        <v>33032666</v>
      </c>
      <c r="B859" s="67" t="inlineStr">
        <is>
          <t>TPSU</t>
        </is>
      </c>
      <c r="C859" s="90" t="inlineStr">
        <is>
          <t>L001</t>
        </is>
      </c>
      <c r="D859" s="84" t="n">
        <v>1120303</v>
      </c>
      <c r="E859" s="80" t="inlineStr">
        <is>
          <t>FAJA V C-120</t>
        </is>
      </c>
      <c r="F859" s="67" t="inlineStr">
        <is>
          <t>UN</t>
        </is>
      </c>
      <c r="G859" s="84" t="n">
        <v>2</v>
      </c>
      <c r="H859" s="57" t="inlineStr">
        <is>
          <t>GR0709249</t>
        </is>
      </c>
      <c r="I859" s="139" t="n">
        <v>91.94</v>
      </c>
      <c r="J859" s="140" t="n">
        <v>173.655</v>
      </c>
      <c r="K859" s="86" t="inlineStr">
        <is>
          <t>PEN</t>
        </is>
      </c>
    </row>
    <row r="860">
      <c r="A860" s="84" t="n">
        <v>33032439</v>
      </c>
      <c r="B860" s="67" t="inlineStr">
        <is>
          <t>TPSU</t>
        </is>
      </c>
      <c r="C860" s="90" t="inlineStr">
        <is>
          <t>L004</t>
        </is>
      </c>
      <c r="D860" s="84" t="n">
        <v>1120304</v>
      </c>
      <c r="E860" s="80" t="inlineStr">
        <is>
          <t>FAJA 5V900</t>
        </is>
      </c>
      <c r="F860" s="67" t="inlineStr">
        <is>
          <t>UN</t>
        </is>
      </c>
      <c r="G860" s="84" t="n">
        <v>1</v>
      </c>
      <c r="H860" s="57" t="inlineStr">
        <is>
          <t>263-31689</t>
        </is>
      </c>
      <c r="I860" s="139" t="n">
        <v>47.14</v>
      </c>
      <c r="J860" s="140" t="n">
        <v>420.496</v>
      </c>
      <c r="K860" s="86" t="inlineStr">
        <is>
          <t>PEN</t>
        </is>
      </c>
    </row>
    <row r="861">
      <c r="A861" s="84" t="n">
        <v>33032440</v>
      </c>
      <c r="B861" s="67" t="inlineStr">
        <is>
          <t>TPSU</t>
        </is>
      </c>
      <c r="C861" s="90" t="inlineStr">
        <is>
          <t>L001</t>
        </is>
      </c>
      <c r="D861" s="84" t="n">
        <v>1120304</v>
      </c>
      <c r="E861" s="80" t="inlineStr">
        <is>
          <t>FAJA 5V950</t>
        </is>
      </c>
      <c r="F861" s="67" t="inlineStr">
        <is>
          <t>UN</t>
        </is>
      </c>
      <c r="G861" s="84" t="n">
        <v>2</v>
      </c>
      <c r="H861" s="57" t="inlineStr">
        <is>
          <t>GR40675109</t>
        </is>
      </c>
      <c r="I861" s="139" t="n">
        <v>77.04000000000001</v>
      </c>
      <c r="J861" s="140" t="n">
        <v>420.5</v>
      </c>
      <c r="K861" s="86" t="inlineStr">
        <is>
          <t>PEN</t>
        </is>
      </c>
    </row>
    <row r="862">
      <c r="A862" s="84" t="n">
        <v>33032606</v>
      </c>
      <c r="B862" s="67" t="inlineStr">
        <is>
          <t>TPSU</t>
        </is>
      </c>
      <c r="C862" s="90" t="inlineStr">
        <is>
          <t>L001</t>
        </is>
      </c>
      <c r="D862" s="84" t="n">
        <v>1120401</v>
      </c>
      <c r="E862" s="80" t="inlineStr">
        <is>
          <t>FAJA V A-51</t>
        </is>
      </c>
      <c r="F862" s="67" t="inlineStr">
        <is>
          <t>UN</t>
        </is>
      </c>
      <c r="G862" s="84" t="n">
        <v>1</v>
      </c>
      <c r="H862" s="57" t="inlineStr">
        <is>
          <t>G4736561</t>
        </is>
      </c>
      <c r="I862" s="139" t="n">
        <v>10.67</v>
      </c>
      <c r="J862" s="140" t="n">
        <v>598.6871428571429</v>
      </c>
      <c r="K862" s="86" t="inlineStr">
        <is>
          <t>PEN</t>
        </is>
      </c>
    </row>
    <row r="863">
      <c r="A863" s="84" t="n">
        <v>33032644</v>
      </c>
      <c r="B863" s="67" t="inlineStr">
        <is>
          <t>TPSU</t>
        </is>
      </c>
      <c r="C863" s="90" t="inlineStr">
        <is>
          <t>L001</t>
        </is>
      </c>
      <c r="D863" s="84" t="n">
        <v>1120401</v>
      </c>
      <c r="E863" s="80" t="inlineStr">
        <is>
          <t>FAJA V B-64</t>
        </is>
      </c>
      <c r="F863" s="67" t="inlineStr">
        <is>
          <t>UN</t>
        </is>
      </c>
      <c r="G863" s="84" t="n">
        <v>2</v>
      </c>
      <c r="H863" s="57" t="inlineStr">
        <is>
          <t>GR48659</t>
        </is>
      </c>
      <c r="I863" s="139" t="n">
        <v>44.45</v>
      </c>
      <c r="J863" s="140" t="n">
        <v>28.58823529411765</v>
      </c>
      <c r="K863" s="86" t="inlineStr">
        <is>
          <t>PEN</t>
        </is>
      </c>
    </row>
    <row r="864">
      <c r="A864" s="84" t="n">
        <v>33042192</v>
      </c>
      <c r="B864" s="67" t="inlineStr">
        <is>
          <t>TPSU</t>
        </is>
      </c>
      <c r="C864" s="90" t="inlineStr">
        <is>
          <t>L001</t>
        </is>
      </c>
      <c r="D864" s="84" t="n">
        <v>1120401</v>
      </c>
      <c r="E864" s="80" t="inlineStr">
        <is>
          <t>FAJA V B-72</t>
        </is>
      </c>
      <c r="F864" s="67" t="inlineStr">
        <is>
          <t>UN</t>
        </is>
      </c>
      <c r="G864" s="84" t="n">
        <v>2</v>
      </c>
      <c r="H864" s="57" t="inlineStr">
        <is>
          <t>G040620701</t>
        </is>
      </c>
      <c r="I864" s="139" t="n">
        <v>36.43</v>
      </c>
      <c r="J864" s="140" t="n">
        <v>1013.7</v>
      </c>
      <c r="K864" s="86" t="inlineStr">
        <is>
          <t>PEN</t>
        </is>
      </c>
    </row>
    <row r="865">
      <c r="A865" s="84" t="n">
        <v>33040357</v>
      </c>
      <c r="B865" s="67" t="inlineStr">
        <is>
          <t>TPSU</t>
        </is>
      </c>
      <c r="C865" s="90" t="inlineStr">
        <is>
          <t>L001</t>
        </is>
      </c>
      <c r="D865" s="84" t="n">
        <v>1120401</v>
      </c>
      <c r="E865" s="80" t="inlineStr">
        <is>
          <t>FAJA V B-75</t>
        </is>
      </c>
      <c r="F865" s="67" t="inlineStr">
        <is>
          <t>UN</t>
        </is>
      </c>
      <c r="G865" s="84" t="n">
        <v>4</v>
      </c>
      <c r="H865" s="57" t="inlineStr">
        <is>
          <t>GR4 614118</t>
        </is>
      </c>
      <c r="I865" s="139" t="n">
        <v>74.25</v>
      </c>
      <c r="J865" s="140" t="n">
        <v>202.5</v>
      </c>
      <c r="K865" s="86" t="inlineStr">
        <is>
          <t>PEN</t>
        </is>
      </c>
    </row>
    <row r="866">
      <c r="A866" s="84" t="n">
        <v>33030196</v>
      </c>
      <c r="B866" s="67" t="inlineStr">
        <is>
          <t>TPSU</t>
        </is>
      </c>
      <c r="C866" s="90" t="inlineStr">
        <is>
          <t>L001</t>
        </is>
      </c>
      <c r="D866" s="84" t="n">
        <v>1120402</v>
      </c>
      <c r="E866" s="80" t="inlineStr">
        <is>
          <t>BELT 141-7116</t>
        </is>
      </c>
      <c r="F866" s="67" t="inlineStr">
        <is>
          <t>UN</t>
        </is>
      </c>
      <c r="G866" s="84" t="n">
        <v>2</v>
      </c>
      <c r="H866" s="57" t="inlineStr">
        <is>
          <t>G70275105</t>
        </is>
      </c>
      <c r="I866" s="139" t="n">
        <v>297.37</v>
      </c>
      <c r="J866" s="140" t="n">
        <v>100.8176</v>
      </c>
      <c r="K866" s="86" t="inlineStr">
        <is>
          <t>PEN</t>
        </is>
      </c>
    </row>
    <row r="867">
      <c r="A867" s="84" t="n">
        <v>33030196</v>
      </c>
      <c r="B867" s="67" t="inlineStr">
        <is>
          <t>TPSU</t>
        </is>
      </c>
      <c r="C867" s="90" t="inlineStr">
        <is>
          <t>L001</t>
        </is>
      </c>
      <c r="D867" s="84" t="n">
        <v>1120402</v>
      </c>
      <c r="E867" s="80" t="inlineStr">
        <is>
          <t>BELT 141-7116</t>
        </is>
      </c>
      <c r="F867" s="67" t="inlineStr">
        <is>
          <t>UN</t>
        </is>
      </c>
      <c r="G867" s="84" t="n">
        <v>1</v>
      </c>
      <c r="H867" s="57" t="inlineStr">
        <is>
          <t>GR7-289371</t>
        </is>
      </c>
      <c r="I867" s="139" t="n">
        <v>148.68</v>
      </c>
      <c r="J867" s="140" t="n">
        <v>71.90000000000001</v>
      </c>
      <c r="K867" s="86" t="inlineStr">
        <is>
          <t>PEN</t>
        </is>
      </c>
    </row>
    <row r="868">
      <c r="A868" s="84" t="n">
        <v>33030201</v>
      </c>
      <c r="B868" s="67" t="inlineStr">
        <is>
          <t>TPSU</t>
        </is>
      </c>
      <c r="C868" s="90" t="inlineStr">
        <is>
          <t>L001</t>
        </is>
      </c>
      <c r="D868" s="84" t="n">
        <v>1120402</v>
      </c>
      <c r="E868" s="80" t="inlineStr">
        <is>
          <t>BELT R114560A</t>
        </is>
      </c>
      <c r="F868" s="67" t="inlineStr">
        <is>
          <t>UN</t>
        </is>
      </c>
      <c r="G868" s="84" t="n">
        <v>2</v>
      </c>
      <c r="H868" s="57" t="inlineStr">
        <is>
          <t>2006101819</t>
        </is>
      </c>
      <c r="I868" s="139" t="n">
        <v>327.78</v>
      </c>
      <c r="J868" s="140" t="n">
        <v>7.129588815789473</v>
      </c>
      <c r="K868" s="86" t="inlineStr">
        <is>
          <t>PEN</t>
        </is>
      </c>
    </row>
    <row r="869">
      <c r="A869" s="84" t="n">
        <v>33032644</v>
      </c>
      <c r="B869" s="67" t="inlineStr">
        <is>
          <t>TPSU</t>
        </is>
      </c>
      <c r="C869" s="90" t="inlineStr">
        <is>
          <t>L004</t>
        </is>
      </c>
      <c r="D869" s="84" t="n">
        <v>1120402</v>
      </c>
      <c r="E869" s="80" t="inlineStr">
        <is>
          <t>FAJA V B-64</t>
        </is>
      </c>
      <c r="F869" s="67" t="inlineStr">
        <is>
          <t>UN</t>
        </is>
      </c>
      <c r="G869" s="84" t="n">
        <v>1</v>
      </c>
      <c r="H869" s="57" t="inlineStr">
        <is>
          <t>GR4-675110</t>
        </is>
      </c>
      <c r="I869" s="139" t="n">
        <v>22.22</v>
      </c>
      <c r="J869" s="140" t="n">
        <v>0.6093333333333334</v>
      </c>
      <c r="K869" s="86" t="inlineStr">
        <is>
          <t>PEN</t>
        </is>
      </c>
    </row>
    <row r="870">
      <c r="A870" s="84" t="n">
        <v>33032687</v>
      </c>
      <c r="B870" s="67" t="inlineStr">
        <is>
          <t>TPSU</t>
        </is>
      </c>
      <c r="C870" s="90" t="inlineStr">
        <is>
          <t>L001</t>
        </is>
      </c>
      <c r="D870" s="84" t="n">
        <v>1120403</v>
      </c>
      <c r="E870" s="80" t="inlineStr">
        <is>
          <t>FAJA VARIADORA 1626V304</t>
        </is>
      </c>
      <c r="F870" s="67" t="inlineStr">
        <is>
          <t>UN</t>
        </is>
      </c>
      <c r="G870" s="84" t="n">
        <v>1</v>
      </c>
      <c r="H870" s="57" t="inlineStr">
        <is>
          <t>G4740341</t>
        </is>
      </c>
      <c r="I870" s="139" t="n">
        <v>86.5</v>
      </c>
      <c r="J870" s="140" t="n">
        <v>117.6</v>
      </c>
      <c r="K870" s="86" t="inlineStr">
        <is>
          <t>PEN</t>
        </is>
      </c>
    </row>
    <row r="871">
      <c r="A871" s="84" t="n">
        <v>33032687</v>
      </c>
      <c r="B871" s="67" t="inlineStr">
        <is>
          <t>TPSU</t>
        </is>
      </c>
      <c r="C871" s="90" t="inlineStr">
        <is>
          <t>L001</t>
        </is>
      </c>
      <c r="D871" s="84" t="n">
        <v>1120403</v>
      </c>
      <c r="E871" s="80" t="inlineStr">
        <is>
          <t>FAJA VARIADORA 1626V304</t>
        </is>
      </c>
      <c r="F871" s="67" t="inlineStr">
        <is>
          <t>UN</t>
        </is>
      </c>
      <c r="G871" s="84" t="n">
        <v>1</v>
      </c>
      <c r="H871" s="57" t="inlineStr">
        <is>
          <t>GR002-2069</t>
        </is>
      </c>
      <c r="I871" s="139" t="n">
        <v>86.5</v>
      </c>
      <c r="J871" s="140" t="n">
        <v>27.46757575757576</v>
      </c>
      <c r="K871" s="86" t="inlineStr">
        <is>
          <t>PEN</t>
        </is>
      </c>
    </row>
    <row r="872">
      <c r="A872" s="84" t="n">
        <v>33032421</v>
      </c>
      <c r="B872" s="67" t="inlineStr">
        <is>
          <t>TPSU</t>
        </is>
      </c>
      <c r="C872" s="90" t="inlineStr">
        <is>
          <t>L001</t>
        </is>
      </c>
      <c r="D872" s="84" t="n">
        <v>1120404</v>
      </c>
      <c r="E872" s="80" t="inlineStr">
        <is>
          <t>FAJA 5V1180</t>
        </is>
      </c>
      <c r="F872" s="67" t="inlineStr">
        <is>
          <t>UN</t>
        </is>
      </c>
      <c r="G872" s="84" t="n">
        <v>3</v>
      </c>
      <c r="H872" s="57" t="inlineStr">
        <is>
          <t>G040621961</t>
        </is>
      </c>
      <c r="I872" s="139" t="n">
        <v>142.77</v>
      </c>
      <c r="J872" s="140" t="n">
        <v>13.29851258581236</v>
      </c>
      <c r="K872" s="86" t="inlineStr">
        <is>
          <t>PEN</t>
        </is>
      </c>
    </row>
    <row r="873">
      <c r="A873" s="84" t="n">
        <v>33032421</v>
      </c>
      <c r="B873" s="67" t="inlineStr">
        <is>
          <t>TPSU</t>
        </is>
      </c>
      <c r="C873" s="90" t="inlineStr">
        <is>
          <t>L001</t>
        </is>
      </c>
      <c r="D873" s="84" t="n">
        <v>1120404</v>
      </c>
      <c r="E873" s="80" t="inlineStr">
        <is>
          <t>FAJA 5V1180</t>
        </is>
      </c>
      <c r="F873" s="67" t="inlineStr">
        <is>
          <t>UN</t>
        </is>
      </c>
      <c r="G873" s="84" t="n">
        <v>9</v>
      </c>
      <c r="H873" s="57" t="inlineStr">
        <is>
          <t>GR4 654040</t>
        </is>
      </c>
      <c r="I873" s="139" t="n">
        <v>428.32</v>
      </c>
      <c r="J873" s="140" t="n">
        <v>9.603333333333333</v>
      </c>
      <c r="K873" s="86" t="inlineStr">
        <is>
          <t>PEN</t>
        </is>
      </c>
    </row>
    <row r="874">
      <c r="A874" s="84" t="n">
        <v>33032530</v>
      </c>
      <c r="B874" s="67" t="inlineStr">
        <is>
          <t>TPSU</t>
        </is>
      </c>
      <c r="C874" s="90" t="inlineStr">
        <is>
          <t>L001</t>
        </is>
      </c>
      <c r="D874" s="84" t="n">
        <v>1120405</v>
      </c>
      <c r="E874" s="80" t="inlineStr">
        <is>
          <t>FAJA ESLABONADA REMACHADA 1/2"</t>
        </is>
      </c>
      <c r="F874" s="67" t="inlineStr">
        <is>
          <t>M</t>
        </is>
      </c>
      <c r="G874" s="84" t="n">
        <v>35.3</v>
      </c>
      <c r="H874" s="57" t="inlineStr">
        <is>
          <t>0024042011</t>
        </is>
      </c>
      <c r="I874" s="139" t="n">
        <v>2445.55</v>
      </c>
      <c r="J874" s="140" t="n">
        <v>8.999583333333334</v>
      </c>
      <c r="K874" s="86" t="inlineStr">
        <is>
          <t>PEN</t>
        </is>
      </c>
    </row>
    <row r="875">
      <c r="A875" s="84" t="n">
        <v>32006265</v>
      </c>
      <c r="B875" s="82" t="inlineStr">
        <is>
          <t>TPSU</t>
        </is>
      </c>
      <c r="C875" s="82" t="inlineStr">
        <is>
          <t>L001</t>
        </is>
      </c>
      <c r="D875" s="84" t="n">
        <v>1130101</v>
      </c>
      <c r="E875" s="80" t="inlineStr">
        <is>
          <t>LANCETA RETRACTIL ACTI-LANCE AZUL P/CAJA</t>
        </is>
      </c>
      <c r="F875" s="67" t="inlineStr">
        <is>
          <t>CJ</t>
        </is>
      </c>
      <c r="G875" s="84" t="n">
        <v>4</v>
      </c>
      <c r="H875" s="57" t="inlineStr">
        <is>
          <t>42520090</t>
        </is>
      </c>
      <c r="I875" s="139" t="n">
        <v>388.7</v>
      </c>
      <c r="J875" s="140" t="n">
        <v>11.7</v>
      </c>
      <c r="K875" s="86" t="inlineStr">
        <is>
          <t>PEN</t>
        </is>
      </c>
    </row>
    <row r="876">
      <c r="A876" s="84" t="n">
        <v>32006265</v>
      </c>
      <c r="B876" s="82" t="inlineStr">
        <is>
          <t>TPSU</t>
        </is>
      </c>
      <c r="C876" s="82" t="inlineStr">
        <is>
          <t>L001</t>
        </is>
      </c>
      <c r="D876" s="84" t="n">
        <v>1130101</v>
      </c>
      <c r="E876" s="80" t="inlineStr">
        <is>
          <t>LANCETA RETRACTIL ACTI-LANCE AZUL P/CAJA</t>
        </is>
      </c>
      <c r="F876" s="67" t="inlineStr">
        <is>
          <t>CJ</t>
        </is>
      </c>
      <c r="G876" s="84" t="n">
        <v>2</v>
      </c>
      <c r="H876" s="57" t="inlineStr">
        <is>
          <t>Z14E165G5</t>
        </is>
      </c>
      <c r="I876" s="139" t="n">
        <v>194.35</v>
      </c>
      <c r="J876" s="140" t="n">
        <v>36</v>
      </c>
      <c r="K876" s="86" t="inlineStr">
        <is>
          <t>PEN</t>
        </is>
      </c>
    </row>
    <row r="877">
      <c r="A877" s="84" t="n">
        <v>31013841</v>
      </c>
      <c r="B877" s="82" t="inlineStr">
        <is>
          <t>TPSU</t>
        </is>
      </c>
      <c r="C877" s="82" t="inlineStr">
        <is>
          <t>L001</t>
        </is>
      </c>
      <c r="D877" s="84" t="n">
        <v>1130101</v>
      </c>
      <c r="E877" s="80" t="inlineStr">
        <is>
          <t>SILICAGEL DESECANTE 1-3MM C/IND.HUMEDAD</t>
        </is>
      </c>
      <c r="F877" s="67" t="inlineStr">
        <is>
          <t>KG</t>
        </is>
      </c>
      <c r="G877" s="84" t="n">
        <v>4</v>
      </c>
      <c r="H877" s="57" t="inlineStr">
        <is>
          <t>K53232569</t>
        </is>
      </c>
      <c r="I877" s="139" t="n">
        <v>1200</v>
      </c>
      <c r="J877" s="140" t="n">
        <v>42</v>
      </c>
      <c r="K877" s="86" t="inlineStr">
        <is>
          <t>PEN</t>
        </is>
      </c>
    </row>
    <row r="878">
      <c r="A878" s="84" t="n">
        <v>31030118</v>
      </c>
      <c r="B878" s="82" t="inlineStr">
        <is>
          <t>TPSU</t>
        </is>
      </c>
      <c r="C878" s="82" t="inlineStr">
        <is>
          <t>L001</t>
        </is>
      </c>
      <c r="D878" s="84" t="n">
        <v>1130102</v>
      </c>
      <c r="E878" s="80" t="inlineStr">
        <is>
          <t>DISPENSADOR AUTOMAT.VOL FIJA 1 ML BRAND</t>
        </is>
      </c>
      <c r="F878" s="67" t="inlineStr">
        <is>
          <t>UN</t>
        </is>
      </c>
      <c r="G878" s="84" t="n">
        <v>1</v>
      </c>
      <c r="H878" s="57" t="inlineStr">
        <is>
          <t>23E24982</t>
        </is>
      </c>
      <c r="I878" s="139" t="n">
        <v>1930</v>
      </c>
      <c r="J878" s="140" t="n">
        <v>80.73999999999999</v>
      </c>
      <c r="K878" s="86" t="inlineStr">
        <is>
          <t>PEN</t>
        </is>
      </c>
    </row>
    <row r="879">
      <c r="A879" s="84" t="n">
        <v>31012154</v>
      </c>
      <c r="B879" s="82" t="inlineStr">
        <is>
          <t>TPSU</t>
        </is>
      </c>
      <c r="C879" s="82" t="inlineStr">
        <is>
          <t>L001</t>
        </is>
      </c>
      <c r="D879" s="84" t="n">
        <v>1130102</v>
      </c>
      <c r="E879" s="80" t="inlineStr">
        <is>
          <t>PAPEL TISSUE</t>
        </is>
      </c>
      <c r="F879" s="67" t="inlineStr">
        <is>
          <t>CJ</t>
        </is>
      </c>
      <c r="G879" s="84" t="n">
        <v>2</v>
      </c>
      <c r="H879" s="57" t="inlineStr">
        <is>
          <t>1905-011</t>
        </is>
      </c>
      <c r="I879" s="139" t="n">
        <v>80</v>
      </c>
      <c r="J879" s="140" t="n">
        <v>80.73999999999999</v>
      </c>
      <c r="K879" s="86" t="inlineStr">
        <is>
          <t>PEN</t>
        </is>
      </c>
    </row>
    <row r="880">
      <c r="A880" s="84" t="n">
        <v>31012154</v>
      </c>
      <c r="B880" s="82" t="inlineStr">
        <is>
          <t>TPSU</t>
        </is>
      </c>
      <c r="C880" s="82" t="inlineStr">
        <is>
          <t>L001</t>
        </is>
      </c>
      <c r="D880" s="84" t="n">
        <v>1130102</v>
      </c>
      <c r="E880" s="80" t="inlineStr">
        <is>
          <t>PAPEL TISSUE</t>
        </is>
      </c>
      <c r="F880" s="67" t="inlineStr">
        <is>
          <t>CJ</t>
        </is>
      </c>
      <c r="G880" s="84" t="n">
        <v>4</v>
      </c>
      <c r="H880" s="57" t="inlineStr">
        <is>
          <t>21905-011</t>
        </is>
      </c>
      <c r="I880" s="139" t="n">
        <v>160</v>
      </c>
      <c r="J880" s="140" t="n">
        <v>84.97</v>
      </c>
      <c r="K880" s="86" t="inlineStr">
        <is>
          <t>PEN</t>
        </is>
      </c>
    </row>
    <row r="881">
      <c r="A881" s="84" t="n">
        <v>31012154</v>
      </c>
      <c r="B881" s="82" t="inlineStr">
        <is>
          <t>TPSU</t>
        </is>
      </c>
      <c r="C881" s="82" t="inlineStr">
        <is>
          <t>L001</t>
        </is>
      </c>
      <c r="D881" s="84" t="n">
        <v>1130102</v>
      </c>
      <c r="E881" s="80" t="inlineStr">
        <is>
          <t>PAPEL TISSUE</t>
        </is>
      </c>
      <c r="F881" s="67" t="inlineStr">
        <is>
          <t>CJ</t>
        </is>
      </c>
      <c r="G881" s="84" t="n">
        <v>4</v>
      </c>
      <c r="H881" s="57" t="inlineStr">
        <is>
          <t>R121905011</t>
        </is>
      </c>
      <c r="I881" s="139" t="n">
        <v>160</v>
      </c>
      <c r="J881" s="140" t="n">
        <v>80.73999999999999</v>
      </c>
      <c r="K881" s="86" t="inlineStr">
        <is>
          <t>PEN</t>
        </is>
      </c>
    </row>
    <row r="882">
      <c r="A882" s="84" t="n">
        <v>31013895</v>
      </c>
      <c r="B882" s="82" t="inlineStr">
        <is>
          <t>TPSU</t>
        </is>
      </c>
      <c r="C882" s="82" t="inlineStr">
        <is>
          <t>L001</t>
        </is>
      </c>
      <c r="D882" s="84" t="n">
        <v>1130102</v>
      </c>
      <c r="E882" s="80" t="inlineStr">
        <is>
          <t>SOLUCION P/ALMACENAM. ELECTRODO HI70300M</t>
        </is>
      </c>
      <c r="F882" s="67" t="inlineStr">
        <is>
          <t>ML</t>
        </is>
      </c>
      <c r="G882" s="84" t="n">
        <v>500</v>
      </c>
      <c r="H882" s="57" t="inlineStr"/>
      <c r="I882" s="139" t="n">
        <v>150.5</v>
      </c>
      <c r="J882" s="140" t="n">
        <v>78.3175</v>
      </c>
      <c r="K882" s="86" t="inlineStr">
        <is>
          <t>PEN</t>
        </is>
      </c>
    </row>
    <row r="883">
      <c r="A883" s="84" t="n">
        <v>31008213</v>
      </c>
      <c r="B883" s="82" t="inlineStr">
        <is>
          <t>TPSU</t>
        </is>
      </c>
      <c r="C883" s="82" t="inlineStr">
        <is>
          <t>L001</t>
        </is>
      </c>
      <c r="D883" s="84" t="n">
        <v>1130103</v>
      </c>
      <c r="E883" s="80" t="inlineStr">
        <is>
          <t>ACIDO BORICO P.A.</t>
        </is>
      </c>
      <c r="F883" s="67" t="inlineStr">
        <is>
          <t>KG</t>
        </is>
      </c>
      <c r="G883" s="84" t="n">
        <v>1</v>
      </c>
      <c r="H883" s="57" t="inlineStr">
        <is>
          <t>AM1858165</t>
        </is>
      </c>
      <c r="I883" s="139" t="n">
        <v>350</v>
      </c>
      <c r="J883" s="140" t="n">
        <v>72.23999999999999</v>
      </c>
      <c r="K883" s="86" t="inlineStr">
        <is>
          <t>PEN</t>
        </is>
      </c>
    </row>
    <row r="884">
      <c r="A884" s="84" t="n">
        <v>31009853</v>
      </c>
      <c r="B884" s="82" t="inlineStr">
        <is>
          <t>TPSU</t>
        </is>
      </c>
      <c r="C884" s="82" t="inlineStr">
        <is>
          <t>L001</t>
        </is>
      </c>
      <c r="D884" s="84" t="n">
        <v>1130103</v>
      </c>
      <c r="E884" s="80" t="inlineStr">
        <is>
          <t>DISPENSADOR AUTOMAT.VOL. VARIABLE 1-5 ML</t>
        </is>
      </c>
      <c r="F884" s="67" t="inlineStr">
        <is>
          <t>UN</t>
        </is>
      </c>
      <c r="G884" s="84" t="n">
        <v>1</v>
      </c>
      <c r="H884" s="57" t="inlineStr"/>
      <c r="I884" s="139" t="n">
        <v>2560</v>
      </c>
      <c r="J884" s="140" t="n">
        <v>81.65000000000001</v>
      </c>
      <c r="K884" s="86" t="inlineStr">
        <is>
          <t>PEN</t>
        </is>
      </c>
    </row>
    <row r="885">
      <c r="A885" s="84" t="n">
        <v>31012127</v>
      </c>
      <c r="B885" s="82" t="inlineStr">
        <is>
          <t>TPSU</t>
        </is>
      </c>
      <c r="C885" s="82" t="inlineStr">
        <is>
          <t>L001</t>
        </is>
      </c>
      <c r="D885" s="84" t="n">
        <v>1130103</v>
      </c>
      <c r="E885" s="80" t="inlineStr">
        <is>
          <t>OXIDO MAGNESIO LIGERO PURIS 97%</t>
        </is>
      </c>
      <c r="F885" s="67" t="inlineStr">
        <is>
          <t>KG</t>
        </is>
      </c>
      <c r="G885" s="84" t="n">
        <v>5</v>
      </c>
      <c r="H885" s="57" t="inlineStr">
        <is>
          <t>22510708</t>
        </is>
      </c>
      <c r="I885" s="139" t="n">
        <v>717.05</v>
      </c>
      <c r="J885" s="140" t="n">
        <v>72.23999999999999</v>
      </c>
      <c r="K885" s="86" t="inlineStr">
        <is>
          <t>PEN</t>
        </is>
      </c>
    </row>
    <row r="886">
      <c r="A886" s="84" t="n">
        <v>32008270</v>
      </c>
      <c r="B886" s="82" t="inlineStr">
        <is>
          <t>TPSU</t>
        </is>
      </c>
      <c r="C886" s="82" t="inlineStr">
        <is>
          <t>L001</t>
        </is>
      </c>
      <c r="D886" s="84" t="n">
        <v>1130105</v>
      </c>
      <c r="E886" s="80" t="inlineStr">
        <is>
          <t>TRAMPA ECOLOGICA PARA MOSCAS 300GR</t>
        </is>
      </c>
      <c r="F886" s="67" t="inlineStr">
        <is>
          <t>UN</t>
        </is>
      </c>
      <c r="G886" s="84" t="n">
        <v>12</v>
      </c>
      <c r="H886" s="57" t="inlineStr"/>
      <c r="I886" s="139" t="n">
        <v>1368.85</v>
      </c>
      <c r="J886" s="140" t="n">
        <v>106.22</v>
      </c>
      <c r="K886" s="86" t="inlineStr">
        <is>
          <t>PEN</t>
        </is>
      </c>
    </row>
    <row r="887">
      <c r="A887" s="84" t="n">
        <v>32006346</v>
      </c>
      <c r="B887" s="82" t="inlineStr">
        <is>
          <t>TPSU</t>
        </is>
      </c>
      <c r="C887" s="82" t="inlineStr">
        <is>
          <t>L001</t>
        </is>
      </c>
      <c r="D887" s="84" t="n">
        <v>1130201</v>
      </c>
      <c r="E887" s="80" t="inlineStr">
        <is>
          <t>CANULA NASAL DE OXIGENO A:32003835</t>
        </is>
      </c>
      <c r="F887" s="67" t="inlineStr">
        <is>
          <t>UN</t>
        </is>
      </c>
      <c r="G887" s="84" t="n">
        <v>12</v>
      </c>
      <c r="H887" s="57" t="inlineStr"/>
      <c r="I887" s="139" t="n">
        <v>481.22</v>
      </c>
      <c r="J887" s="140" t="n">
        <v>13</v>
      </c>
      <c r="K887" s="86" t="inlineStr">
        <is>
          <t>PEN</t>
        </is>
      </c>
    </row>
    <row r="888">
      <c r="A888" s="84" t="n">
        <v>32006348</v>
      </c>
      <c r="B888" s="82" t="inlineStr">
        <is>
          <t>TPSU</t>
        </is>
      </c>
      <c r="C888" s="82" t="inlineStr">
        <is>
          <t>L001</t>
        </is>
      </c>
      <c r="D888" s="84" t="n">
        <v>1130201</v>
      </c>
      <c r="E888" s="80" t="inlineStr">
        <is>
          <t>FRASCO HMD</t>
        </is>
      </c>
      <c r="F888" s="67" t="inlineStr">
        <is>
          <t>UN</t>
        </is>
      </c>
      <c r="G888" s="84" t="n">
        <v>12</v>
      </c>
      <c r="H888" s="57" t="inlineStr"/>
      <c r="I888" s="139" t="n">
        <v>476.71</v>
      </c>
      <c r="J888" s="140" t="n">
        <v>13</v>
      </c>
      <c r="K888" s="86" t="inlineStr">
        <is>
          <t>PEN</t>
        </is>
      </c>
    </row>
    <row r="889">
      <c r="A889" s="84" t="n">
        <v>32006350</v>
      </c>
      <c r="B889" s="82" t="inlineStr">
        <is>
          <t>TPSU</t>
        </is>
      </c>
      <c r="C889" s="82" t="inlineStr">
        <is>
          <t>L001</t>
        </is>
      </c>
      <c r="D889" s="84" t="n">
        <v>1130201</v>
      </c>
      <c r="E889" s="80" t="inlineStr">
        <is>
          <t>REGULADOR CON FLUJOMETRO DE O2</t>
        </is>
      </c>
      <c r="F889" s="67" t="inlineStr">
        <is>
          <t>UN</t>
        </is>
      </c>
      <c r="G889" s="84" t="n">
        <v>12</v>
      </c>
      <c r="H889" s="57" t="inlineStr"/>
      <c r="I889" s="139" t="n">
        <v>3175.86</v>
      </c>
      <c r="J889" s="140" t="n">
        <v>4.98</v>
      </c>
      <c r="K889" s="86" t="inlineStr">
        <is>
          <t>PEN</t>
        </is>
      </c>
    </row>
    <row r="890">
      <c r="A890" s="84" t="n">
        <v>20000484</v>
      </c>
      <c r="B890" s="82" t="inlineStr">
        <is>
          <t>TPSU</t>
        </is>
      </c>
      <c r="C890" s="82" t="inlineStr">
        <is>
          <t>L001</t>
        </is>
      </c>
      <c r="D890" s="84" t="n">
        <v>1130202</v>
      </c>
      <c r="E890" s="80" t="inlineStr">
        <is>
          <t>BOLSA PLAST 17.7 X 18.8 CM ZIPLOCK</t>
        </is>
      </c>
      <c r="F890" s="67" t="inlineStr">
        <is>
          <t>UN</t>
        </is>
      </c>
      <c r="G890" s="84" t="n">
        <v>2</v>
      </c>
      <c r="H890" s="57" t="inlineStr"/>
      <c r="I890" s="139" t="n">
        <v>72.40000000000001</v>
      </c>
      <c r="J890" s="140" t="n">
        <v>13</v>
      </c>
      <c r="K890" s="86" t="inlineStr">
        <is>
          <t>PEN</t>
        </is>
      </c>
    </row>
    <row r="891">
      <c r="A891" s="84" t="n">
        <v>32006256</v>
      </c>
      <c r="B891" s="82" t="inlineStr">
        <is>
          <t>TPSU</t>
        </is>
      </c>
      <c r="C891" s="82" t="inlineStr">
        <is>
          <t>L001</t>
        </is>
      </c>
      <c r="D891" s="84" t="n">
        <v>1130202</v>
      </c>
      <c r="E891" s="80" t="inlineStr">
        <is>
          <t>TERMOMETRO DE NO CONTACTO MOD: YT-003</t>
        </is>
      </c>
      <c r="F891" s="67" t="inlineStr">
        <is>
          <t>UN</t>
        </is>
      </c>
      <c r="G891" s="84" t="n">
        <v>8</v>
      </c>
      <c r="H891" s="57" t="inlineStr"/>
      <c r="I891" s="139" t="n">
        <v>1389.24</v>
      </c>
      <c r="J891" s="140" t="n">
        <v>13</v>
      </c>
      <c r="K891" s="86" t="inlineStr">
        <is>
          <t>PEN</t>
        </is>
      </c>
    </row>
    <row r="892">
      <c r="A892" s="84" t="n">
        <v>31010599</v>
      </c>
      <c r="B892" s="82" t="inlineStr">
        <is>
          <t>TPSU</t>
        </is>
      </c>
      <c r="C892" s="82" t="inlineStr">
        <is>
          <t>L001</t>
        </is>
      </c>
      <c r="D892" s="84" t="n">
        <v>1130203</v>
      </c>
      <c r="E892" s="80" t="inlineStr">
        <is>
          <t>FILTRO EXTERNO EQUIPO NIR X 10 UND</t>
        </is>
      </c>
      <c r="F892" s="67" t="inlineStr">
        <is>
          <t>PQT</t>
        </is>
      </c>
      <c r="G892" s="84" t="n">
        <v>5</v>
      </c>
      <c r="H892" s="57" t="inlineStr">
        <is>
          <t>110779138</t>
        </is>
      </c>
      <c r="I892" s="139" t="n">
        <v>2102.48</v>
      </c>
      <c r="J892" s="140" t="n">
        <v>114.72</v>
      </c>
      <c r="K892" s="86" t="inlineStr">
        <is>
          <t>PEN</t>
        </is>
      </c>
    </row>
    <row r="893">
      <c r="A893" s="84" t="n">
        <v>31010599</v>
      </c>
      <c r="B893" s="82" t="inlineStr">
        <is>
          <t>TPSU</t>
        </is>
      </c>
      <c r="C893" s="82" t="inlineStr">
        <is>
          <t>L001</t>
        </is>
      </c>
      <c r="D893" s="84" t="n">
        <v>1130203</v>
      </c>
      <c r="E893" s="80" t="inlineStr">
        <is>
          <t>FILTRO EXTERNO EQUIPO NIR X 10 UND</t>
        </is>
      </c>
      <c r="F893" s="67" t="inlineStr">
        <is>
          <t>PQT</t>
        </is>
      </c>
      <c r="G893" s="84" t="n">
        <v>1</v>
      </c>
      <c r="H893" s="57" t="inlineStr">
        <is>
          <t>110782245</t>
        </is>
      </c>
      <c r="I893" s="139" t="n">
        <v>420.5</v>
      </c>
      <c r="J893" s="140" t="n">
        <v>114.72</v>
      </c>
      <c r="K893" s="86" t="inlineStr">
        <is>
          <t>PEN</t>
        </is>
      </c>
    </row>
    <row r="894">
      <c r="A894" s="84" t="n">
        <v>31010636</v>
      </c>
      <c r="B894" s="82" t="inlineStr">
        <is>
          <t>TPSU</t>
        </is>
      </c>
      <c r="C894" s="82" t="inlineStr">
        <is>
          <t>L001</t>
        </is>
      </c>
      <c r="D894" s="84" t="n">
        <v>1130203</v>
      </c>
      <c r="E894" s="80" t="inlineStr">
        <is>
          <t>FLITRO INTERNO EQUIPO NIR X 10 UND</t>
        </is>
      </c>
      <c r="F894" s="67" t="inlineStr">
        <is>
          <t>PQT</t>
        </is>
      </c>
      <c r="G894" s="84" t="n">
        <v>7</v>
      </c>
      <c r="H894" s="57" t="inlineStr"/>
      <c r="I894" s="139" t="n">
        <v>4190.81</v>
      </c>
      <c r="J894" s="140" t="n">
        <v>114.72</v>
      </c>
      <c r="K894" s="86" t="inlineStr">
        <is>
          <t>PEN</t>
        </is>
      </c>
    </row>
    <row r="895">
      <c r="A895" s="84" t="n">
        <v>31015206</v>
      </c>
      <c r="B895" s="82" t="inlineStr">
        <is>
          <t>TPSU</t>
        </is>
      </c>
      <c r="C895" s="82" t="inlineStr">
        <is>
          <t>L001</t>
        </is>
      </c>
      <c r="D895" s="84" t="n">
        <v>1130203</v>
      </c>
      <c r="E895" s="80" t="inlineStr">
        <is>
          <t>VASELINA LIQUIDA</t>
        </is>
      </c>
      <c r="F895" s="67" t="inlineStr">
        <is>
          <t>L</t>
        </is>
      </c>
      <c r="G895" s="84" t="n">
        <v>4.76</v>
      </c>
      <c r="H895" s="57" t="inlineStr">
        <is>
          <t>REL0107E22</t>
        </is>
      </c>
      <c r="I895" s="139" t="n">
        <v>136.08</v>
      </c>
      <c r="J895" s="140" t="n">
        <v>6</v>
      </c>
      <c r="K895" s="86" t="inlineStr">
        <is>
          <t>PEN</t>
        </is>
      </c>
    </row>
    <row r="896">
      <c r="A896" s="84" t="n">
        <v>32004236</v>
      </c>
      <c r="B896" s="82" t="inlineStr">
        <is>
          <t>TPSU</t>
        </is>
      </c>
      <c r="C896" s="82" t="inlineStr">
        <is>
          <t>L001</t>
        </is>
      </c>
      <c r="D896" s="84" t="n">
        <v>1130204</v>
      </c>
      <c r="E896" s="80" t="inlineStr">
        <is>
          <t>FERULAS SEMIRIGIDAS (JUEGO DE 5 PIEZAS)</t>
        </is>
      </c>
      <c r="F896" s="67" t="inlineStr">
        <is>
          <t>UN</t>
        </is>
      </c>
      <c r="G896" s="84" t="n">
        <v>1</v>
      </c>
      <c r="H896" s="57" t="inlineStr"/>
      <c r="I896" s="139" t="n">
        <v>1013.7</v>
      </c>
      <c r="J896" s="140" t="n">
        <v>5.9825</v>
      </c>
      <c r="K896" s="86" t="inlineStr">
        <is>
          <t>PEN</t>
        </is>
      </c>
    </row>
    <row r="897">
      <c r="A897" s="84" t="n">
        <v>31013237</v>
      </c>
      <c r="B897" s="82" t="inlineStr">
        <is>
          <t>TPSU</t>
        </is>
      </c>
      <c r="C897" s="82" t="inlineStr">
        <is>
          <t>L001</t>
        </is>
      </c>
      <c r="D897" s="84" t="n">
        <v>1130205</v>
      </c>
      <c r="E897" s="80" t="inlineStr">
        <is>
          <t>PLACA ADHESIVA P/INSECTOCUTOR</t>
        </is>
      </c>
      <c r="F897" s="67" t="inlineStr">
        <is>
          <t>UN</t>
        </is>
      </c>
      <c r="G897" s="84" t="n">
        <v>5</v>
      </c>
      <c r="H897" s="57" t="inlineStr"/>
      <c r="I897" s="139" t="n">
        <v>1012.5</v>
      </c>
      <c r="J897" s="140" t="n">
        <v>5.9344</v>
      </c>
      <c r="K897" s="86" t="inlineStr">
        <is>
          <t>PEN</t>
        </is>
      </c>
    </row>
    <row r="898">
      <c r="A898" s="84" t="n">
        <v>32005804</v>
      </c>
      <c r="B898" s="82" t="inlineStr">
        <is>
          <t>TPSU</t>
        </is>
      </c>
      <c r="C898" s="82" t="inlineStr">
        <is>
          <t>L001</t>
        </is>
      </c>
      <c r="D898" s="84" t="n">
        <v>1140101</v>
      </c>
      <c r="E898" s="80" t="inlineStr">
        <is>
          <t>PAPEL HIG. HOJA SIMPLE 550 MT PQX12ROL</t>
        </is>
      </c>
      <c r="F898" s="67" t="inlineStr">
        <is>
          <t>PQT</t>
        </is>
      </c>
      <c r="G898" s="84" t="n">
        <v>12.5</v>
      </c>
      <c r="H898" s="57" t="inlineStr"/>
      <c r="I898" s="139" t="n">
        <v>1260.22</v>
      </c>
      <c r="J898" s="140" t="n">
        <v>6</v>
      </c>
      <c r="K898" s="86" t="inlineStr">
        <is>
          <t>PEN</t>
        </is>
      </c>
    </row>
    <row r="899">
      <c r="A899" s="84" t="n">
        <v>32004865</v>
      </c>
      <c r="B899" s="82" t="inlineStr">
        <is>
          <t>TPSU</t>
        </is>
      </c>
      <c r="C899" s="82" t="inlineStr">
        <is>
          <t>L001</t>
        </is>
      </c>
      <c r="D899" s="84" t="n">
        <v>1140203</v>
      </c>
      <c r="E899" s="80" t="inlineStr">
        <is>
          <t>PAPEL TOALLA X 200MT A:32005500</t>
        </is>
      </c>
      <c r="F899" s="67" t="inlineStr">
        <is>
          <t>PQT</t>
        </is>
      </c>
      <c r="G899" s="84" t="n">
        <v>0.5</v>
      </c>
      <c r="H899" s="57" t="inlineStr"/>
      <c r="I899" s="139" t="n">
        <v>35.95</v>
      </c>
      <c r="J899" s="140" t="n">
        <v>8.394347826086957</v>
      </c>
      <c r="K899" s="86" t="inlineStr">
        <is>
          <t>PEN</t>
        </is>
      </c>
    </row>
    <row r="900">
      <c r="A900" s="84" t="n">
        <v>32004098</v>
      </c>
      <c r="B900" s="82" t="inlineStr">
        <is>
          <t>TPSU</t>
        </is>
      </c>
      <c r="C900" s="82" t="inlineStr">
        <is>
          <t>L001</t>
        </is>
      </c>
      <c r="D900" s="84" t="n">
        <v>1140204</v>
      </c>
      <c r="E900" s="80" t="inlineStr">
        <is>
          <t>DETERGENTE DOMESTICO</t>
        </is>
      </c>
      <c r="F900" s="67" t="inlineStr">
        <is>
          <t>KG</t>
        </is>
      </c>
      <c r="G900" s="84" t="n">
        <v>608</v>
      </c>
      <c r="H900" s="57" t="inlineStr"/>
      <c r="I900" s="139" t="n">
        <v>4334.79</v>
      </c>
      <c r="J900" s="140" t="n">
        <v>8.5</v>
      </c>
      <c r="K900" s="86" t="inlineStr">
        <is>
          <t>PEN</t>
        </is>
      </c>
    </row>
    <row r="901">
      <c r="A901" s="84" t="n">
        <v>32004853</v>
      </c>
      <c r="B901" s="82" t="inlineStr">
        <is>
          <t>TPSU</t>
        </is>
      </c>
      <c r="C901" s="82" t="inlineStr">
        <is>
          <t>L001</t>
        </is>
      </c>
      <c r="D901" s="84" t="n">
        <v>1140204</v>
      </c>
      <c r="E901" s="80" t="inlineStr">
        <is>
          <t>PAPEL HIGIENICO DOBLE HOJA 16.5MT.X 96MM</t>
        </is>
      </c>
      <c r="F901" s="67" t="inlineStr">
        <is>
          <t>ROL</t>
        </is>
      </c>
      <c r="G901" s="84" t="n">
        <v>15</v>
      </c>
      <c r="H901" s="57" t="inlineStr"/>
      <c r="I901" s="139" t="n">
        <v>9.140000000000001</v>
      </c>
      <c r="J901" s="140" t="n">
        <v>8.5</v>
      </c>
      <c r="K901" s="86" t="inlineStr">
        <is>
          <t>PEN</t>
        </is>
      </c>
    </row>
    <row r="902">
      <c r="A902" s="84" t="n">
        <v>32004864</v>
      </c>
      <c r="B902" s="82" t="inlineStr">
        <is>
          <t>TPSU</t>
        </is>
      </c>
      <c r="C902" s="82" t="inlineStr">
        <is>
          <t>L001</t>
        </is>
      </c>
      <c r="D902" s="84" t="n">
        <v>1140204</v>
      </c>
      <c r="E902" s="80" t="inlineStr">
        <is>
          <t>PAPEL TOALLA AIRFLEX H.SIMP.175HJ PQX20R</t>
        </is>
      </c>
      <c r="F902" s="67" t="inlineStr">
        <is>
          <t>PQT</t>
        </is>
      </c>
      <c r="G902" s="84" t="n">
        <v>1</v>
      </c>
      <c r="H902" s="57" t="inlineStr"/>
      <c r="I902" s="139" t="n">
        <v>117.6</v>
      </c>
      <c r="J902" s="140" t="n">
        <v>8.5</v>
      </c>
      <c r="K902" s="86" t="inlineStr">
        <is>
          <t>PEN</t>
        </is>
      </c>
    </row>
    <row r="903">
      <c r="A903" s="84" t="n">
        <v>32005402</v>
      </c>
      <c r="B903" s="82" t="inlineStr">
        <is>
          <t>TPSU</t>
        </is>
      </c>
      <c r="C903" s="82" t="inlineStr">
        <is>
          <t>L001</t>
        </is>
      </c>
      <c r="D903" s="84" t="n">
        <v>1140301</v>
      </c>
      <c r="E903" s="80" t="inlineStr">
        <is>
          <t>WYPALL X-80 ROLLO BLANCO</t>
        </is>
      </c>
      <c r="F903" s="67" t="inlineStr">
        <is>
          <t>ROL</t>
        </is>
      </c>
      <c r="G903" s="84" t="n">
        <v>66</v>
      </c>
      <c r="H903" s="57" t="inlineStr"/>
      <c r="I903" s="139" t="n">
        <v>1812.86</v>
      </c>
      <c r="J903" s="140" t="n">
        <v>7.497555555555556</v>
      </c>
      <c r="K903" s="86" t="inlineStr">
        <is>
          <t>PEN</t>
        </is>
      </c>
    </row>
    <row r="904">
      <c r="A904" s="84" t="n">
        <v>32005500</v>
      </c>
      <c r="B904" s="82" t="inlineStr">
        <is>
          <t>TPSU</t>
        </is>
      </c>
      <c r="C904" s="82" t="inlineStr">
        <is>
          <t>L001</t>
        </is>
      </c>
      <c r="D904" s="84" t="n">
        <v>1140401</v>
      </c>
      <c r="E904" s="80" t="inlineStr">
        <is>
          <t>PAPEL TOALLA AIRFLEC H.SIMP 200MT</t>
        </is>
      </c>
      <c r="F904" s="67" t="inlineStr">
        <is>
          <t>ROL</t>
        </is>
      </c>
      <c r="G904" s="84" t="n">
        <v>437</v>
      </c>
      <c r="H904" s="57" t="inlineStr"/>
      <c r="I904" s="139" t="n">
        <v>5811.45</v>
      </c>
      <c r="J904" s="140" t="n">
        <v>12.725</v>
      </c>
      <c r="K904" s="86" t="inlineStr">
        <is>
          <t>PEN</t>
        </is>
      </c>
    </row>
    <row r="905">
      <c r="A905" s="84" t="n">
        <v>32005361</v>
      </c>
      <c r="B905" s="82" t="inlineStr">
        <is>
          <t>TPSU</t>
        </is>
      </c>
      <c r="C905" s="82" t="inlineStr">
        <is>
          <t>L001</t>
        </is>
      </c>
      <c r="D905" s="84" t="n">
        <v>1140405</v>
      </c>
      <c r="E905" s="80" t="inlineStr">
        <is>
          <t>TRAPEADOR MOPA ALGODON C/MANGO</t>
        </is>
      </c>
      <c r="F905" s="67" t="inlineStr">
        <is>
          <t>UN</t>
        </is>
      </c>
      <c r="G905" s="84" t="n">
        <v>6</v>
      </c>
      <c r="H905" s="57" t="inlineStr"/>
      <c r="I905" s="139" t="n">
        <v>57.62</v>
      </c>
      <c r="J905" s="140" t="n">
        <v>38.735</v>
      </c>
      <c r="K905" s="86" t="inlineStr">
        <is>
          <t>PEN</t>
        </is>
      </c>
    </row>
    <row r="906">
      <c r="A906" s="84" t="n">
        <v>32003485</v>
      </c>
      <c r="B906" s="82" t="inlineStr">
        <is>
          <t>TPSU</t>
        </is>
      </c>
      <c r="C906" s="82" t="inlineStr">
        <is>
          <t>L001</t>
        </is>
      </c>
      <c r="D906" s="84" t="n">
        <v>1150101</v>
      </c>
      <c r="E906" s="80" t="inlineStr">
        <is>
          <t>ALMOHADA STANDARD</t>
        </is>
      </c>
      <c r="F906" s="67" t="inlineStr">
        <is>
          <t>UN</t>
        </is>
      </c>
      <c r="G906" s="84" t="n">
        <v>24</v>
      </c>
      <c r="H906" s="57" t="inlineStr"/>
      <c r="I906" s="139" t="n">
        <v>215.99</v>
      </c>
      <c r="J906" s="140" t="n">
        <v>38.675</v>
      </c>
      <c r="K906" s="86" t="inlineStr">
        <is>
          <t>PEN</t>
        </is>
      </c>
    </row>
    <row r="907">
      <c r="A907" s="84" t="n">
        <v>32004043</v>
      </c>
      <c r="B907" s="82" t="inlineStr">
        <is>
          <t>TPSU</t>
        </is>
      </c>
      <c r="C907" s="82" t="inlineStr">
        <is>
          <t>L001</t>
        </is>
      </c>
      <c r="D907" s="84" t="n">
        <v>1150102</v>
      </c>
      <c r="E907" s="80" t="inlineStr">
        <is>
          <t>CORTINA P/BAÑO 1.75 X 1.16MT</t>
        </is>
      </c>
      <c r="F907" s="67" t="inlineStr">
        <is>
          <t>UN</t>
        </is>
      </c>
      <c r="G907" s="84" t="n">
        <v>2</v>
      </c>
      <c r="H907" s="57" t="inlineStr"/>
      <c r="I907" s="139" t="n">
        <v>23.4</v>
      </c>
      <c r="J907" s="140" t="n">
        <v>38.65285714285714</v>
      </c>
      <c r="K907" s="86" t="inlineStr">
        <is>
          <t>PEN</t>
        </is>
      </c>
    </row>
    <row r="908">
      <c r="A908" s="84" t="n">
        <v>32005519</v>
      </c>
      <c r="B908" s="82" t="inlineStr">
        <is>
          <t>TPSU</t>
        </is>
      </c>
      <c r="C908" s="82" t="inlineStr">
        <is>
          <t>L001</t>
        </is>
      </c>
      <c r="D908" s="84" t="n">
        <v>1150102</v>
      </c>
      <c r="E908" s="80" t="inlineStr">
        <is>
          <t>FRAZADA 1.1/2 PLAZA</t>
        </is>
      </c>
      <c r="F908" s="67" t="inlineStr">
        <is>
          <t>UN</t>
        </is>
      </c>
      <c r="G908" s="84" t="n">
        <v>1</v>
      </c>
      <c r="H908" s="57" t="inlineStr"/>
      <c r="I908" s="139" t="n">
        <v>36</v>
      </c>
      <c r="J908" s="140" t="n">
        <v>38.6475</v>
      </c>
      <c r="K908" s="86" t="inlineStr">
        <is>
          <t>PEN</t>
        </is>
      </c>
    </row>
    <row r="909">
      <c r="A909" s="84" t="n">
        <v>32004494</v>
      </c>
      <c r="B909" s="82" t="inlineStr">
        <is>
          <t>TPSU</t>
        </is>
      </c>
      <c r="C909" s="82" t="inlineStr">
        <is>
          <t>L001</t>
        </is>
      </c>
      <c r="D909" s="84" t="n">
        <v>1150102</v>
      </c>
      <c r="E909" s="80" t="inlineStr">
        <is>
          <t>JGO SABANAS 1.1/2 PLAZA</t>
        </is>
      </c>
      <c r="F909" s="67" t="inlineStr">
        <is>
          <t>UN</t>
        </is>
      </c>
      <c r="G909" s="84" t="n">
        <v>10</v>
      </c>
      <c r="H909" s="57" t="inlineStr"/>
      <c r="I909" s="139" t="n">
        <v>420</v>
      </c>
      <c r="J909" s="140" t="n">
        <v>38.622</v>
      </c>
      <c r="K909" s="86" t="inlineStr">
        <is>
          <t>PEN</t>
        </is>
      </c>
    </row>
    <row r="910">
      <c r="A910" s="84" t="n">
        <v>32004158</v>
      </c>
      <c r="B910" s="82" t="inlineStr">
        <is>
          <t>TPSU</t>
        </is>
      </c>
      <c r="C910" s="82" t="inlineStr">
        <is>
          <t>L001</t>
        </is>
      </c>
      <c r="D910" s="84" t="n">
        <v>1150103</v>
      </c>
      <c r="E910" s="80" t="inlineStr">
        <is>
          <t>ESCOBA CUELLO RECTO 310MM ROJO VIKAN</t>
        </is>
      </c>
      <c r="F910" s="67" t="inlineStr">
        <is>
          <t>UN</t>
        </is>
      </c>
      <c r="G910" s="84" t="n">
        <v>19</v>
      </c>
      <c r="H910" s="57" t="inlineStr"/>
      <c r="I910" s="139" t="n">
        <v>1534.06</v>
      </c>
      <c r="J910" s="140" t="n">
        <v>38.61</v>
      </c>
      <c r="K910" s="86" t="inlineStr">
        <is>
          <t>PEN</t>
        </is>
      </c>
    </row>
    <row r="911">
      <c r="A911" s="84" t="n">
        <v>32004161</v>
      </c>
      <c r="B911" s="82" t="inlineStr">
        <is>
          <t>TPSU</t>
        </is>
      </c>
      <c r="C911" s="82" t="inlineStr">
        <is>
          <t>L001</t>
        </is>
      </c>
      <c r="D911" s="84" t="n">
        <v>1150103</v>
      </c>
      <c r="E911" s="80" t="inlineStr">
        <is>
          <t>ESCOBA RECTA CERDAS DURAS AZUL</t>
        </is>
      </c>
      <c r="F911" s="67" t="inlineStr">
        <is>
          <t>UN</t>
        </is>
      </c>
      <c r="G911" s="84" t="n">
        <v>2</v>
      </c>
      <c r="H911" s="57" t="inlineStr"/>
      <c r="I911" s="139" t="n">
        <v>161.48</v>
      </c>
      <c r="J911" s="140" t="n">
        <v>57.855</v>
      </c>
      <c r="K911" s="86" t="inlineStr">
        <is>
          <t>PEN</t>
        </is>
      </c>
    </row>
    <row r="912">
      <c r="A912" s="84" t="n">
        <v>32004673</v>
      </c>
      <c r="B912" s="82" t="inlineStr">
        <is>
          <t>TPSU</t>
        </is>
      </c>
      <c r="C912" s="82" t="inlineStr">
        <is>
          <t>L001</t>
        </is>
      </c>
      <c r="D912" s="84" t="n">
        <v>1150103</v>
      </c>
      <c r="E912" s="80" t="inlineStr">
        <is>
          <t>MANGO ALUM. 1510MM ROJO VIKAN</t>
        </is>
      </c>
      <c r="F912" s="67" t="inlineStr">
        <is>
          <t>UN</t>
        </is>
      </c>
      <c r="G912" s="84" t="n">
        <v>19</v>
      </c>
      <c r="H912" s="57" t="inlineStr"/>
      <c r="I912" s="139" t="n">
        <v>1614.43</v>
      </c>
      <c r="J912" s="140" t="n">
        <v>109.32</v>
      </c>
      <c r="K912" s="86" t="inlineStr">
        <is>
          <t>PEN</t>
        </is>
      </c>
    </row>
    <row r="913">
      <c r="A913" s="84" t="n">
        <v>32004162</v>
      </c>
      <c r="B913" s="82" t="inlineStr">
        <is>
          <t>TPSU</t>
        </is>
      </c>
      <c r="C913" s="82" t="inlineStr">
        <is>
          <t>L001</t>
        </is>
      </c>
      <c r="D913" s="84" t="n">
        <v>1150104</v>
      </c>
      <c r="E913" s="80" t="inlineStr">
        <is>
          <t>ESCOBA RECTA CERDAS DURAS BLANCO</t>
        </is>
      </c>
      <c r="F913" s="67" t="inlineStr">
        <is>
          <t>UN</t>
        </is>
      </c>
      <c r="G913" s="84" t="n">
        <v>7</v>
      </c>
      <c r="H913" s="57" t="inlineStr"/>
      <c r="I913" s="139" t="n">
        <v>565.1799999999999</v>
      </c>
      <c r="J913" s="140" t="n">
        <v>117.23375</v>
      </c>
      <c r="K913" s="86" t="inlineStr">
        <is>
          <t>PEN</t>
        </is>
      </c>
    </row>
    <row r="914">
      <c r="A914" s="84" t="n">
        <v>32004163</v>
      </c>
      <c r="B914" s="82" t="inlineStr">
        <is>
          <t>TPSU</t>
        </is>
      </c>
      <c r="C914" s="82" t="inlineStr">
        <is>
          <t>L001</t>
        </is>
      </c>
      <c r="D914" s="84" t="n">
        <v>1150104</v>
      </c>
      <c r="E914" s="80" t="inlineStr">
        <is>
          <t>ESCOBA RECTA CERDAS DURAS VERDE</t>
        </is>
      </c>
      <c r="F914" s="67" t="inlineStr">
        <is>
          <t>UN</t>
        </is>
      </c>
      <c r="G914" s="84" t="n">
        <v>8</v>
      </c>
      <c r="H914" s="57" t="inlineStr"/>
      <c r="I914" s="139" t="n">
        <v>626.54</v>
      </c>
      <c r="J914" s="140" t="n">
        <v>89.03566666666667</v>
      </c>
      <c r="K914" s="86" t="inlineStr">
        <is>
          <t>PEN</t>
        </is>
      </c>
    </row>
    <row r="915">
      <c r="A915" s="84" t="n">
        <v>32004671</v>
      </c>
      <c r="B915" s="82" t="inlineStr">
        <is>
          <t>TPSU</t>
        </is>
      </c>
      <c r="C915" s="82" t="inlineStr">
        <is>
          <t>L001</t>
        </is>
      </c>
      <c r="D915" s="84" t="n">
        <v>1150104</v>
      </c>
      <c r="E915" s="80" t="inlineStr">
        <is>
          <t>MANGO ALUM. 1300MM VERDE VIKAN</t>
        </is>
      </c>
      <c r="F915" s="67" t="inlineStr">
        <is>
          <t>UN</t>
        </is>
      </c>
      <c r="G915" s="84" t="n">
        <v>11</v>
      </c>
      <c r="H915" s="57" t="inlineStr"/>
      <c r="I915" s="139" t="n">
        <v>794.64</v>
      </c>
      <c r="J915" s="140" t="n">
        <v>130.327</v>
      </c>
      <c r="K915" s="86" t="inlineStr">
        <is>
          <t>PEN</t>
        </is>
      </c>
    </row>
    <row r="916">
      <c r="A916" s="84" t="n">
        <v>32004669</v>
      </c>
      <c r="B916" s="82" t="inlineStr">
        <is>
          <t>TPSU</t>
        </is>
      </c>
      <c r="C916" s="82" t="inlineStr">
        <is>
          <t>L001</t>
        </is>
      </c>
      <c r="D916" s="84" t="n">
        <v>1150105</v>
      </c>
      <c r="E916" s="80" t="inlineStr">
        <is>
          <t>MANGO ALUM. 1300 MM AZUL VIKAN</t>
        </is>
      </c>
      <c r="F916" s="67" t="inlineStr">
        <is>
          <t>UN</t>
        </is>
      </c>
      <c r="G916" s="84" t="n">
        <v>13</v>
      </c>
      <c r="H916" s="57" t="inlineStr"/>
      <c r="I916" s="139" t="n">
        <v>1061.45</v>
      </c>
      <c r="J916" s="140" t="n">
        <v>130.3276470588235</v>
      </c>
      <c r="K916" s="86" t="inlineStr">
        <is>
          <t>PEN</t>
        </is>
      </c>
    </row>
    <row r="917">
      <c r="A917" s="84" t="n">
        <v>32004670</v>
      </c>
      <c r="B917" s="82" t="inlineStr">
        <is>
          <t>TPSU</t>
        </is>
      </c>
      <c r="C917" s="82" t="inlineStr">
        <is>
          <t>L001</t>
        </is>
      </c>
      <c r="D917" s="84" t="n">
        <v>1150105</v>
      </c>
      <c r="E917" s="80" t="inlineStr">
        <is>
          <t>MANGO ALUM. 1300 MM BLANCO VIKAN</t>
        </is>
      </c>
      <c r="F917" s="67" t="inlineStr">
        <is>
          <t>UN</t>
        </is>
      </c>
      <c r="G917" s="84" t="n">
        <v>6</v>
      </c>
      <c r="H917" s="57" t="inlineStr"/>
      <c r="I917" s="139" t="n">
        <v>433.44</v>
      </c>
      <c r="J917" s="140" t="n">
        <v>416.19</v>
      </c>
      <c r="K917" s="86" t="inlineStr">
        <is>
          <t>PEN</t>
        </is>
      </c>
    </row>
    <row r="918">
      <c r="A918" s="84" t="n">
        <v>32004475</v>
      </c>
      <c r="B918" s="82" t="inlineStr">
        <is>
          <t>TPSU</t>
        </is>
      </c>
      <c r="C918" s="82" t="inlineStr">
        <is>
          <t>L001</t>
        </is>
      </c>
      <c r="D918" s="84" t="n">
        <v>1150201</v>
      </c>
      <c r="E918" s="80" t="inlineStr">
        <is>
          <t>JALADOR C/REPUESTO 700MM ROJO VIKAN</t>
        </is>
      </c>
      <c r="F918" s="67" t="inlineStr">
        <is>
          <t>UN</t>
        </is>
      </c>
      <c r="G918" s="84" t="n">
        <v>27</v>
      </c>
      <c r="H918" s="57" t="inlineStr"/>
      <c r="I918" s="139" t="n">
        <v>2867.94</v>
      </c>
      <c r="J918" s="140" t="n">
        <v>114.4909090909091</v>
      </c>
      <c r="K918" s="86" t="inlineStr">
        <is>
          <t>PEN</t>
        </is>
      </c>
    </row>
    <row r="919">
      <c r="A919" s="84" t="n">
        <v>32008167</v>
      </c>
      <c r="B919" s="82" t="inlineStr">
        <is>
          <t>TPSU</t>
        </is>
      </c>
      <c r="C919" s="82" t="inlineStr">
        <is>
          <t>L001</t>
        </is>
      </c>
      <c r="D919" s="84" t="n">
        <v>1150202</v>
      </c>
      <c r="E919" s="80" t="inlineStr">
        <is>
          <t>JALADOR AGUA JEBE P/PISO 550MM AZUL</t>
        </is>
      </c>
      <c r="F919" s="67" t="inlineStr">
        <is>
          <t>UN</t>
        </is>
      </c>
      <c r="G919" s="84" t="n">
        <v>20</v>
      </c>
      <c r="H919" s="57" t="inlineStr"/>
      <c r="I919" s="139" t="n">
        <v>260</v>
      </c>
      <c r="J919" s="140" t="n">
        <v>115.6133333333333</v>
      </c>
      <c r="K919" s="86" t="inlineStr">
        <is>
          <t>PEN</t>
        </is>
      </c>
    </row>
    <row r="920">
      <c r="A920" s="84" t="n">
        <v>32008169</v>
      </c>
      <c r="B920" s="82" t="inlineStr">
        <is>
          <t>TPSU</t>
        </is>
      </c>
      <c r="C920" s="82" t="inlineStr">
        <is>
          <t>L001</t>
        </is>
      </c>
      <c r="D920" s="84" t="n">
        <v>1150202</v>
      </c>
      <c r="E920" s="80" t="inlineStr">
        <is>
          <t>JALADOR AGUA JEBE P/PISO 550MM VERDE</t>
        </is>
      </c>
      <c r="F920" s="67" t="inlineStr">
        <is>
          <t>UN</t>
        </is>
      </c>
      <c r="G920" s="84" t="n">
        <v>9</v>
      </c>
      <c r="H920" s="57" t="inlineStr"/>
      <c r="I920" s="139" t="n">
        <v>117</v>
      </c>
      <c r="J920" s="140" t="n">
        <v>128.8304545454546</v>
      </c>
      <c r="K920" s="86" t="inlineStr">
        <is>
          <t>PEN</t>
        </is>
      </c>
    </row>
    <row r="921">
      <c r="A921" s="84" t="n">
        <v>32004471</v>
      </c>
      <c r="B921" s="82" t="inlineStr">
        <is>
          <t>TPSU</t>
        </is>
      </c>
      <c r="C921" s="82" t="inlineStr">
        <is>
          <t>L001</t>
        </is>
      </c>
      <c r="D921" s="84" t="n">
        <v>1150203</v>
      </c>
      <c r="E921" s="80" t="inlineStr">
        <is>
          <t>JALADOR AGUA JEBE P/PISO</t>
        </is>
      </c>
      <c r="F921" s="67" t="inlineStr">
        <is>
          <t>UN</t>
        </is>
      </c>
      <c r="G921" s="84" t="n">
        <v>2</v>
      </c>
      <c r="H921" s="57" t="inlineStr"/>
      <c r="I921" s="139" t="n">
        <v>9.960000000000001</v>
      </c>
      <c r="J921" s="140" t="n">
        <v>125.458</v>
      </c>
      <c r="K921" s="86" t="inlineStr">
        <is>
          <t>PEN</t>
        </is>
      </c>
    </row>
    <row r="922">
      <c r="A922" s="84" t="n">
        <v>32008166</v>
      </c>
      <c r="B922" s="82" t="inlineStr">
        <is>
          <t>TPSU</t>
        </is>
      </c>
      <c r="C922" s="82" t="inlineStr">
        <is>
          <t>L001</t>
        </is>
      </c>
      <c r="D922" s="84" t="n">
        <v>1150203</v>
      </c>
      <c r="E922" s="80" t="inlineStr">
        <is>
          <t>JALADOR AGUA JEBE P/PISO 550MM AMARILLO</t>
        </is>
      </c>
      <c r="F922" s="67" t="inlineStr">
        <is>
          <t>UN</t>
        </is>
      </c>
      <c r="G922" s="84" t="n">
        <v>2</v>
      </c>
      <c r="H922" s="57" t="inlineStr"/>
      <c r="I922" s="139" t="n">
        <v>26</v>
      </c>
      <c r="J922" s="140" t="n">
        <v>89</v>
      </c>
      <c r="K922" s="86" t="inlineStr">
        <is>
          <t>PEN</t>
        </is>
      </c>
    </row>
    <row r="923">
      <c r="A923" s="84" t="n">
        <v>32008168</v>
      </c>
      <c r="B923" s="82" t="inlineStr">
        <is>
          <t>TPSU</t>
        </is>
      </c>
      <c r="C923" s="82" t="inlineStr">
        <is>
          <t>L001</t>
        </is>
      </c>
      <c r="D923" s="84" t="n">
        <v>1150203</v>
      </c>
      <c r="E923" s="80" t="inlineStr">
        <is>
          <t>JALADOR AGUA JEBE P/PISO 550MM ROJO</t>
        </is>
      </c>
      <c r="F923" s="67" t="inlineStr">
        <is>
          <t>UN</t>
        </is>
      </c>
      <c r="G923" s="84" t="n">
        <v>2</v>
      </c>
      <c r="H923" s="57" t="inlineStr"/>
      <c r="I923" s="139" t="n">
        <v>26</v>
      </c>
      <c r="J923" s="140" t="n">
        <v>70</v>
      </c>
      <c r="K923" s="86" t="inlineStr">
        <is>
          <t>PEN</t>
        </is>
      </c>
    </row>
    <row r="924">
      <c r="A924" s="84" t="n">
        <v>32005006</v>
      </c>
      <c r="B924" s="67" t="inlineStr">
        <is>
          <t>TPSU</t>
        </is>
      </c>
      <c r="C924" s="90" t="inlineStr">
        <is>
          <t>L001</t>
        </is>
      </c>
      <c r="D924" s="84" t="n">
        <v>1150204</v>
      </c>
      <c r="E924" s="80" t="inlineStr">
        <is>
          <t>RECOGEDOR DE PISO, HM BLANCO</t>
        </is>
      </c>
      <c r="F924" s="67" t="inlineStr">
        <is>
          <t>UN</t>
        </is>
      </c>
      <c r="G924" s="84" t="n">
        <v>25</v>
      </c>
      <c r="H924" s="57" t="inlineStr"/>
      <c r="I924" s="139" t="n">
        <v>2868</v>
      </c>
      <c r="J924" s="140" t="n">
        <v>85.244</v>
      </c>
      <c r="K924" s="86" t="inlineStr">
        <is>
          <t>PEN</t>
        </is>
      </c>
    </row>
    <row r="925">
      <c r="A925" s="84" t="n">
        <v>32005007</v>
      </c>
      <c r="B925" s="67" t="inlineStr">
        <is>
          <t>TPSU</t>
        </is>
      </c>
      <c r="C925" s="90" t="inlineStr">
        <is>
          <t>L001</t>
        </is>
      </c>
      <c r="D925" s="84" t="n">
        <v>1150204</v>
      </c>
      <c r="E925" s="80" t="inlineStr">
        <is>
          <t>RECOGEDOR DE PISO, HM VERDE</t>
        </is>
      </c>
      <c r="F925" s="67" t="inlineStr">
        <is>
          <t>UN</t>
        </is>
      </c>
      <c r="G925" s="84" t="n">
        <v>17</v>
      </c>
      <c r="H925" s="57" t="inlineStr"/>
      <c r="I925" s="139" t="n">
        <v>1950.24</v>
      </c>
      <c r="J925" s="140" t="n">
        <v>90.55896551724138</v>
      </c>
      <c r="K925" s="86" t="inlineStr">
        <is>
          <t>PEN</t>
        </is>
      </c>
    </row>
    <row r="926">
      <c r="A926" s="84" t="n">
        <v>32005005</v>
      </c>
      <c r="B926" s="67" t="inlineStr">
        <is>
          <t>TPSU</t>
        </is>
      </c>
      <c r="C926" s="90" t="inlineStr">
        <is>
          <t>L001</t>
        </is>
      </c>
      <c r="D926" s="84" t="n">
        <v>1150205</v>
      </c>
      <c r="E926" s="80" t="inlineStr">
        <is>
          <t>RECOGEDOR DE PISO, HM AZUL</t>
        </is>
      </c>
      <c r="F926" s="67" t="inlineStr">
        <is>
          <t>UN</t>
        </is>
      </c>
      <c r="G926" s="84" t="n">
        <v>17</v>
      </c>
      <c r="H926" s="57" t="inlineStr"/>
      <c r="I926" s="139" t="n">
        <v>1950.24</v>
      </c>
      <c r="J926" s="140" t="n">
        <v>81.175</v>
      </c>
      <c r="K926" s="86" t="inlineStr">
        <is>
          <t>PEN</t>
        </is>
      </c>
    </row>
    <row r="927">
      <c r="A927" s="84" t="n">
        <v>32008171</v>
      </c>
      <c r="B927" s="67" t="inlineStr">
        <is>
          <t>TPSU</t>
        </is>
      </c>
      <c r="C927" s="90" t="inlineStr">
        <is>
          <t>L001</t>
        </is>
      </c>
      <c r="D927" s="84" t="n">
        <v>1150301</v>
      </c>
      <c r="E927" s="80" t="inlineStr">
        <is>
          <t>RECOGEDOR PISO PLAST C/FILETE JEBE AZUL</t>
        </is>
      </c>
      <c r="F927" s="67" t="inlineStr">
        <is>
          <t>UN</t>
        </is>
      </c>
      <c r="G927" s="84" t="n">
        <v>11</v>
      </c>
      <c r="H927" s="57" t="inlineStr"/>
      <c r="I927" s="139" t="n">
        <v>66</v>
      </c>
      <c r="J927" s="140" t="n">
        <v>102.6</v>
      </c>
      <c r="K927" s="86" t="inlineStr">
        <is>
          <t>PEN</t>
        </is>
      </c>
    </row>
    <row r="928">
      <c r="A928" s="84" t="n">
        <v>32008172</v>
      </c>
      <c r="B928" s="67" t="inlineStr">
        <is>
          <t>TPSU</t>
        </is>
      </c>
      <c r="C928" s="90" t="inlineStr">
        <is>
          <t>L001</t>
        </is>
      </c>
      <c r="D928" s="84" t="n">
        <v>1150302</v>
      </c>
      <c r="E928" s="80" t="inlineStr">
        <is>
          <t>RECOGEDOR PISO PLAST C/FILETE JEBE ROJO</t>
        </is>
      </c>
      <c r="F928" s="67" t="inlineStr">
        <is>
          <t>UN</t>
        </is>
      </c>
      <c r="G928" s="84" t="n">
        <v>4</v>
      </c>
      <c r="H928" s="57" t="inlineStr"/>
      <c r="I928" s="139" t="n">
        <v>23.93</v>
      </c>
      <c r="J928" s="140" t="n">
        <v>18.32</v>
      </c>
      <c r="K928" s="86" t="inlineStr">
        <is>
          <t>PEN</t>
        </is>
      </c>
    </row>
    <row r="929">
      <c r="A929" s="84" t="n">
        <v>32005003</v>
      </c>
      <c r="B929" s="67" t="inlineStr">
        <is>
          <t>TPSU</t>
        </is>
      </c>
      <c r="C929" s="90" t="inlineStr">
        <is>
          <t>L001</t>
        </is>
      </c>
      <c r="D929" s="84" t="n">
        <v>1150303</v>
      </c>
      <c r="E929" s="80" t="inlineStr">
        <is>
          <t>RECOGEDOR DE BASURA PLAST. C/FILETE JEBE</t>
        </is>
      </c>
      <c r="F929" s="67" t="inlineStr">
        <is>
          <t>UN</t>
        </is>
      </c>
      <c r="G929" s="84" t="n">
        <v>25</v>
      </c>
      <c r="H929" s="57" t="inlineStr"/>
      <c r="I929" s="139" t="n">
        <v>148.36</v>
      </c>
      <c r="J929" s="140" t="n">
        <v>51.31</v>
      </c>
      <c r="K929" s="86" t="inlineStr">
        <is>
          <t>PEN</t>
        </is>
      </c>
    </row>
    <row r="930">
      <c r="A930" s="84" t="n">
        <v>32008170</v>
      </c>
      <c r="B930" s="67" t="inlineStr">
        <is>
          <t>TPSU</t>
        </is>
      </c>
      <c r="C930" s="90" t="inlineStr">
        <is>
          <t>L001</t>
        </is>
      </c>
      <c r="D930" s="84" t="n">
        <v>1150304</v>
      </c>
      <c r="E930" s="80" t="inlineStr">
        <is>
          <t>RECOGEDOR PISO PLAST C/FILETE JEBE AMARI</t>
        </is>
      </c>
      <c r="F930" s="67" t="inlineStr">
        <is>
          <t>UN</t>
        </is>
      </c>
      <c r="G930" s="84" t="n">
        <v>5</v>
      </c>
      <c r="H930" s="57" t="inlineStr"/>
      <c r="I930" s="139" t="n">
        <v>30</v>
      </c>
      <c r="J930" s="140" t="n">
        <v>598.995</v>
      </c>
      <c r="K930" s="86" t="inlineStr">
        <is>
          <t>PEN</t>
        </is>
      </c>
    </row>
    <row r="931">
      <c r="A931" s="84" t="n">
        <v>32008154</v>
      </c>
      <c r="B931" s="67" t="inlineStr">
        <is>
          <t>TPSU</t>
        </is>
      </c>
      <c r="C931" s="90" t="inlineStr">
        <is>
          <t>L001</t>
        </is>
      </c>
      <c r="D931" s="84" t="n">
        <v>1150401</v>
      </c>
      <c r="E931" s="80" t="inlineStr">
        <is>
          <t>ESCOBA MED.RECTA PVC C/CERDA NYLON AZUL</t>
        </is>
      </c>
      <c r="F931" s="67" t="inlineStr">
        <is>
          <t>UN</t>
        </is>
      </c>
      <c r="G931" s="84" t="n">
        <v>23</v>
      </c>
      <c r="H931" s="57" t="inlineStr"/>
      <c r="I931" s="139" t="n">
        <v>193.07</v>
      </c>
      <c r="J931" s="140" t="n">
        <v>229.36</v>
      </c>
      <c r="K931" s="86" t="inlineStr">
        <is>
          <t>PEN</t>
        </is>
      </c>
    </row>
    <row r="932">
      <c r="A932" s="84" t="n">
        <v>32008165</v>
      </c>
      <c r="B932" s="67" t="inlineStr">
        <is>
          <t>TPSU</t>
        </is>
      </c>
      <c r="C932" s="90" t="inlineStr">
        <is>
          <t>L001</t>
        </is>
      </c>
      <c r="D932" s="84" t="n">
        <v>1150402</v>
      </c>
      <c r="E932" s="80" t="inlineStr">
        <is>
          <t>ESCOBA MED.RECTA PVC C/CERDA NYLON VERDE</t>
        </is>
      </c>
      <c r="F932" s="67" t="inlineStr">
        <is>
          <t>UN</t>
        </is>
      </c>
      <c r="G932" s="84" t="n">
        <v>9</v>
      </c>
      <c r="H932" s="57" t="inlineStr"/>
      <c r="I932" s="139" t="n">
        <v>76.5</v>
      </c>
      <c r="J932" s="140" t="n">
        <v>477.16</v>
      </c>
      <c r="K932" s="86" t="inlineStr">
        <is>
          <t>PEN</t>
        </is>
      </c>
    </row>
    <row r="933">
      <c r="A933" s="84" t="n">
        <v>32008152</v>
      </c>
      <c r="B933" s="67" t="inlineStr">
        <is>
          <t>TPSU</t>
        </is>
      </c>
      <c r="C933" s="90" t="inlineStr">
        <is>
          <t>L001</t>
        </is>
      </c>
      <c r="D933" s="84" t="n">
        <v>1150403</v>
      </c>
      <c r="E933" s="80" t="inlineStr">
        <is>
          <t>ESCOBA MED. RECTA PVC C/CERDA NYLON ROJO</t>
        </is>
      </c>
      <c r="F933" s="67" t="inlineStr">
        <is>
          <t>UN</t>
        </is>
      </c>
      <c r="G933" s="84" t="n">
        <v>8</v>
      </c>
      <c r="H933" s="57" t="inlineStr"/>
      <c r="I933" s="139" t="n">
        <v>68</v>
      </c>
      <c r="J933" s="140" t="n">
        <v>21.136</v>
      </c>
      <c r="K933" s="86" t="inlineStr">
        <is>
          <t>PEN</t>
        </is>
      </c>
    </row>
    <row r="934">
      <c r="A934" s="84" t="n">
        <v>32008153</v>
      </c>
      <c r="B934" s="67" t="inlineStr">
        <is>
          <t>TPSU</t>
        </is>
      </c>
      <c r="C934" s="90" t="inlineStr">
        <is>
          <t>L001</t>
        </is>
      </c>
      <c r="D934" s="84" t="n">
        <v>1150404</v>
      </c>
      <c r="E934" s="80" t="inlineStr">
        <is>
          <t>ESCOBA MED.RECTA PVC C/CERD NYLON AMARIL</t>
        </is>
      </c>
      <c r="F934" s="67" t="inlineStr">
        <is>
          <t>UN</t>
        </is>
      </c>
      <c r="G934" s="84" t="n">
        <v>6</v>
      </c>
      <c r="H934" s="57" t="inlineStr"/>
      <c r="I934" s="139" t="n">
        <v>51</v>
      </c>
      <c r="J934" s="140" t="n">
        <v>21.135</v>
      </c>
      <c r="K934" s="86" t="inlineStr">
        <is>
          <t>PEN</t>
        </is>
      </c>
    </row>
    <row r="935">
      <c r="A935" s="84" t="n">
        <v>32004160</v>
      </c>
      <c r="B935" s="67" t="inlineStr">
        <is>
          <t>TPSU</t>
        </is>
      </c>
      <c r="C935" s="90" t="inlineStr">
        <is>
          <t>L001</t>
        </is>
      </c>
      <c r="D935" s="84" t="n">
        <v>1150405</v>
      </c>
      <c r="E935" s="80" t="inlineStr">
        <is>
          <t>ESCOBA MEDIANA RECTA PVC C/CERDA NYLON</t>
        </is>
      </c>
      <c r="F935" s="67" t="inlineStr">
        <is>
          <t>UN</t>
        </is>
      </c>
      <c r="G935" s="84" t="n">
        <v>45</v>
      </c>
      <c r="H935" s="57" t="inlineStr"/>
      <c r="I935" s="139" t="n">
        <v>337.39</v>
      </c>
      <c r="J935" s="140" t="n">
        <v>21.13571428571428</v>
      </c>
      <c r="K935" s="86" t="inlineStr">
        <is>
          <t>PEN</t>
        </is>
      </c>
    </row>
    <row r="936">
      <c r="A936" s="84" t="n">
        <v>32004172</v>
      </c>
      <c r="B936" s="67" t="inlineStr">
        <is>
          <t>TPSU</t>
        </is>
      </c>
      <c r="C936" s="90" t="inlineStr">
        <is>
          <t>L001</t>
        </is>
      </c>
      <c r="D936" s="84" t="n">
        <v>1150405</v>
      </c>
      <c r="E936" s="80" t="inlineStr">
        <is>
          <t>ESCOBILLON 50 CM. CERDA PLASTICA</t>
        </is>
      </c>
      <c r="F936" s="67" t="inlineStr">
        <is>
          <t>UN</t>
        </is>
      </c>
      <c r="G936" s="84" t="n">
        <v>2</v>
      </c>
      <c r="H936" s="57" t="inlineStr"/>
      <c r="I936" s="139" t="n">
        <v>25.45</v>
      </c>
      <c r="J936" s="140" t="n">
        <v>72.55</v>
      </c>
      <c r="K936" s="86" t="inlineStr">
        <is>
          <t>PEN</t>
        </is>
      </c>
    </row>
    <row r="937">
      <c r="A937" s="84" t="n">
        <v>32008033</v>
      </c>
      <c r="B937" s="67" t="inlineStr">
        <is>
          <t>TPSU</t>
        </is>
      </c>
      <c r="C937" s="90" t="inlineStr">
        <is>
          <t>L001</t>
        </is>
      </c>
      <c r="D937" s="84" t="n">
        <v>1160101</v>
      </c>
      <c r="E937" s="80" t="inlineStr">
        <is>
          <t>BOTA PVC PETROLERA P/AC. T40</t>
        </is>
      </c>
      <c r="F937" s="67" t="inlineStr">
        <is>
          <t>PAR</t>
        </is>
      </c>
      <c r="G937" s="84" t="n">
        <v>6</v>
      </c>
      <c r="H937" s="57" t="inlineStr"/>
      <c r="I937" s="139" t="n">
        <v>232.41</v>
      </c>
      <c r="J937" s="140" t="n">
        <v>251.73</v>
      </c>
      <c r="K937" s="86" t="inlineStr">
        <is>
          <t>PEN</t>
        </is>
      </c>
    </row>
    <row r="938">
      <c r="A938" s="84" t="n">
        <v>32008034</v>
      </c>
      <c r="B938" s="67" t="inlineStr">
        <is>
          <t>TPSU</t>
        </is>
      </c>
      <c r="C938" s="90" t="inlineStr">
        <is>
          <t>L001</t>
        </is>
      </c>
      <c r="D938" s="84" t="n">
        <v>1160101</v>
      </c>
      <c r="E938" s="80" t="inlineStr">
        <is>
          <t>BOTA PVC PETROLERA P/AC. T41</t>
        </is>
      </c>
      <c r="F938" s="67" t="inlineStr">
        <is>
          <t>PAR</t>
        </is>
      </c>
      <c r="G938" s="84" t="n">
        <v>6</v>
      </c>
      <c r="H938" s="57" t="inlineStr"/>
      <c r="I938" s="139" t="n">
        <v>232.05</v>
      </c>
      <c r="J938" s="140" t="n">
        <v>39.22</v>
      </c>
      <c r="K938" s="86" t="inlineStr">
        <is>
          <t>PEN</t>
        </is>
      </c>
    </row>
    <row r="939">
      <c r="A939" s="84" t="n">
        <v>32008045</v>
      </c>
      <c r="B939" s="67" t="inlineStr">
        <is>
          <t>TPSU</t>
        </is>
      </c>
      <c r="C939" s="90" t="inlineStr">
        <is>
          <t>L001</t>
        </is>
      </c>
      <c r="D939" s="84" t="n">
        <v>1160103</v>
      </c>
      <c r="E939" s="80" t="inlineStr">
        <is>
          <t>BOTA PVC PETROLERA P/AC. T42</t>
        </is>
      </c>
      <c r="F939" s="67" t="inlineStr">
        <is>
          <t>PAR</t>
        </is>
      </c>
      <c r="G939" s="84" t="n">
        <v>14</v>
      </c>
      <c r="H939" s="57" t="inlineStr"/>
      <c r="I939" s="139" t="n">
        <v>541.14</v>
      </c>
      <c r="J939" s="140" t="n">
        <v>39.22</v>
      </c>
      <c r="K939" s="86" t="inlineStr">
        <is>
          <t>PEN</t>
        </is>
      </c>
    </row>
    <row r="940">
      <c r="A940" s="84" t="n">
        <v>32008046</v>
      </c>
      <c r="B940" s="67" t="inlineStr">
        <is>
          <t>TPSU</t>
        </is>
      </c>
      <c r="C940" s="90" t="inlineStr">
        <is>
          <t>L001</t>
        </is>
      </c>
      <c r="D940" s="84" t="n">
        <v>1160103</v>
      </c>
      <c r="E940" s="80" t="inlineStr">
        <is>
          <t>BOTA PVC PETROLERA P/AC. T43</t>
        </is>
      </c>
      <c r="F940" s="67" t="inlineStr">
        <is>
          <t>PAR</t>
        </is>
      </c>
      <c r="G940" s="84" t="n">
        <v>4</v>
      </c>
      <c r="H940" s="57" t="inlineStr"/>
      <c r="I940" s="139" t="n">
        <v>154.59</v>
      </c>
      <c r="J940" s="140" t="n">
        <v>853.34</v>
      </c>
      <c r="K940" s="86" t="inlineStr">
        <is>
          <t>PEN</t>
        </is>
      </c>
    </row>
    <row r="941">
      <c r="A941" s="84" t="n">
        <v>32008047</v>
      </c>
      <c r="B941" s="67" t="inlineStr">
        <is>
          <t>TPSU</t>
        </is>
      </c>
      <c r="C941" s="90" t="inlineStr">
        <is>
          <t>L001</t>
        </is>
      </c>
      <c r="D941" s="84" t="n">
        <v>1160104</v>
      </c>
      <c r="E941" s="80" t="inlineStr">
        <is>
          <t>BOTA PVC PETROLERA P/AC. T44</t>
        </is>
      </c>
      <c r="F941" s="67" t="inlineStr">
        <is>
          <t>PAR</t>
        </is>
      </c>
      <c r="G941" s="84" t="n">
        <v>25</v>
      </c>
      <c r="H941" s="57" t="inlineStr"/>
      <c r="I941" s="139" t="n">
        <v>965.55</v>
      </c>
      <c r="J941" s="140" t="n">
        <v>183.89</v>
      </c>
      <c r="K941" s="86" t="inlineStr">
        <is>
          <t>PEN</t>
        </is>
      </c>
    </row>
    <row r="942">
      <c r="A942" s="84" t="n">
        <v>32008048</v>
      </c>
      <c r="B942" s="67" t="inlineStr">
        <is>
          <t>TPSU</t>
        </is>
      </c>
      <c r="C942" s="90" t="inlineStr">
        <is>
          <t>L001</t>
        </is>
      </c>
      <c r="D942" s="84" t="n">
        <v>1160104</v>
      </c>
      <c r="E942" s="80" t="inlineStr">
        <is>
          <t>BOTA PVC PETROLERA P/AC. T45</t>
        </is>
      </c>
      <c r="F942" s="67" t="inlineStr">
        <is>
          <t>PAR</t>
        </is>
      </c>
      <c r="G942" s="84" t="n">
        <v>3</v>
      </c>
      <c r="H942" s="57" t="inlineStr"/>
      <c r="I942" s="139" t="n">
        <v>115.83</v>
      </c>
      <c r="J942" s="140" t="n">
        <v>69.825</v>
      </c>
      <c r="K942" s="86" t="inlineStr">
        <is>
          <t>PEN</t>
        </is>
      </c>
    </row>
    <row r="943">
      <c r="A943" s="84" t="n">
        <v>32008049</v>
      </c>
      <c r="B943" s="67" t="inlineStr">
        <is>
          <t>TPSU</t>
        </is>
      </c>
      <c r="C943" s="90" t="inlineStr">
        <is>
          <t>L001</t>
        </is>
      </c>
      <c r="D943" s="84" t="n">
        <v>1160105</v>
      </c>
      <c r="E943" s="80" t="inlineStr">
        <is>
          <t>BOTA RGB CAUCHO P/AC. T46</t>
        </is>
      </c>
      <c r="F943" s="67" t="inlineStr">
        <is>
          <t>PAR</t>
        </is>
      </c>
      <c r="G943" s="84" t="n">
        <v>2</v>
      </c>
      <c r="H943" s="57" t="inlineStr"/>
      <c r="I943" s="139" t="n">
        <v>115.71</v>
      </c>
      <c r="J943" s="140" t="n">
        <v>26.075</v>
      </c>
      <c r="K943" s="86" t="inlineStr">
        <is>
          <t>PEN</t>
        </is>
      </c>
    </row>
    <row r="944">
      <c r="A944" s="84" t="n">
        <v>32003507</v>
      </c>
      <c r="B944" s="67" t="inlineStr">
        <is>
          <t>TPSU</t>
        </is>
      </c>
      <c r="C944" s="90" t="inlineStr">
        <is>
          <t>L001</t>
        </is>
      </c>
      <c r="D944" s="84" t="n">
        <v>1160201</v>
      </c>
      <c r="E944" s="80" t="inlineStr">
        <is>
          <t>ARO SALVAVIDA NARANJA C/4 BAN A:32007064</t>
        </is>
      </c>
      <c r="F944" s="67" t="inlineStr">
        <is>
          <t>UN</t>
        </is>
      </c>
      <c r="G944" s="84" t="n">
        <v>1</v>
      </c>
      <c r="H944" s="57" t="inlineStr"/>
      <c r="I944" s="139" t="n">
        <v>109.32</v>
      </c>
      <c r="J944" s="140" t="n">
        <v>35.435</v>
      </c>
      <c r="K944" s="86" t="inlineStr">
        <is>
          <t>PEN</t>
        </is>
      </c>
    </row>
    <row r="945">
      <c r="A945" s="84" t="n">
        <v>32005051</v>
      </c>
      <c r="B945" s="67" t="inlineStr">
        <is>
          <t>TPSU</t>
        </is>
      </c>
      <c r="C945" s="90" t="inlineStr">
        <is>
          <t>L001</t>
        </is>
      </c>
      <c r="D945" s="84" t="n">
        <v>1160201</v>
      </c>
      <c r="E945" s="80" t="inlineStr">
        <is>
          <t>ROPA AGUA CASACA JEBE DOBLE FAZ / M</t>
        </is>
      </c>
      <c r="F945" s="67" t="inlineStr">
        <is>
          <t>UN</t>
        </is>
      </c>
      <c r="G945" s="84" t="n">
        <v>8</v>
      </c>
      <c r="H945" s="57" t="inlineStr"/>
      <c r="I945" s="139" t="n">
        <v>937.87</v>
      </c>
      <c r="J945" s="140" t="n">
        <v>35.435</v>
      </c>
      <c r="K945" s="86" t="inlineStr">
        <is>
          <t>PEN</t>
        </is>
      </c>
    </row>
    <row r="946">
      <c r="A946" s="84" t="n">
        <v>32005081</v>
      </c>
      <c r="B946" s="67" t="inlineStr">
        <is>
          <t>TPSU</t>
        </is>
      </c>
      <c r="C946" s="90" t="inlineStr">
        <is>
          <t>L001</t>
        </is>
      </c>
      <c r="D946" s="84" t="n">
        <v>1160202</v>
      </c>
      <c r="E946" s="80" t="inlineStr">
        <is>
          <t>ROPA AGUA PANTALON JEBE DOBLE FAZ - XL</t>
        </is>
      </c>
      <c r="F946" s="67" t="inlineStr">
        <is>
          <t>UN</t>
        </is>
      </c>
      <c r="G946" s="84" t="n">
        <v>30</v>
      </c>
      <c r="H946" s="57" t="inlineStr">
        <is>
          <t>NUEVO</t>
        </is>
      </c>
      <c r="I946" s="139" t="n">
        <v>2671.07</v>
      </c>
      <c r="J946" s="140" t="n">
        <v>15.54</v>
      </c>
      <c r="K946" s="86" t="inlineStr">
        <is>
          <t>PEN</t>
        </is>
      </c>
    </row>
    <row r="947">
      <c r="A947" s="84" t="n">
        <v>32005055</v>
      </c>
      <c r="B947" s="67" t="inlineStr">
        <is>
          <t>TPSU</t>
        </is>
      </c>
      <c r="C947" s="90" t="inlineStr">
        <is>
          <t>L001</t>
        </is>
      </c>
      <c r="D947" s="84" t="n">
        <v>1160204</v>
      </c>
      <c r="E947" s="80" t="inlineStr">
        <is>
          <t>ROPA AGUA CASACA JEBE DOBLE FAZ FLOT/L</t>
        </is>
      </c>
      <c r="F947" s="67" t="inlineStr">
        <is>
          <t>UN</t>
        </is>
      </c>
      <c r="G947" s="84" t="n">
        <v>10</v>
      </c>
      <c r="H947" s="57" t="inlineStr">
        <is>
          <t>G19667</t>
        </is>
      </c>
      <c r="I947" s="139" t="n">
        <v>1303.27</v>
      </c>
      <c r="J947" s="140" t="n">
        <v>65.53333333333333</v>
      </c>
      <c r="K947" s="86" t="inlineStr">
        <is>
          <t>PEN</t>
        </is>
      </c>
    </row>
    <row r="948">
      <c r="A948" s="84" t="n">
        <v>32005055</v>
      </c>
      <c r="B948" s="67" t="inlineStr">
        <is>
          <t>TPSU</t>
        </is>
      </c>
      <c r="C948" s="90" t="inlineStr">
        <is>
          <t>L001</t>
        </is>
      </c>
      <c r="D948" s="84" t="n">
        <v>1160204</v>
      </c>
      <c r="E948" s="80" t="inlineStr">
        <is>
          <t>ROPA AGUA CASACA JEBE DOBLE FAZ FLOT/L</t>
        </is>
      </c>
      <c r="F948" s="67" t="inlineStr">
        <is>
          <t>UN</t>
        </is>
      </c>
      <c r="G948" s="84" t="n">
        <v>17</v>
      </c>
      <c r="H948" s="57" t="inlineStr">
        <is>
          <t>NUEVO</t>
        </is>
      </c>
      <c r="I948" s="139" t="n">
        <v>2215.57</v>
      </c>
      <c r="J948" s="140" t="n">
        <v>24.23</v>
      </c>
      <c r="K948" s="86" t="inlineStr">
        <is>
          <t>PEN</t>
        </is>
      </c>
    </row>
    <row r="949">
      <c r="A949" s="84" t="n">
        <v>32003765</v>
      </c>
      <c r="B949" s="67" t="inlineStr">
        <is>
          <t>TPSU</t>
        </is>
      </c>
      <c r="C949" s="90" t="inlineStr">
        <is>
          <t>L001</t>
        </is>
      </c>
      <c r="D949" s="84" t="n">
        <v>1160301</v>
      </c>
      <c r="E949" s="80" t="inlineStr">
        <is>
          <t>BOYA NARANJA P/EQ. SEGURIDAD 60 CM</t>
        </is>
      </c>
      <c r="F949" s="67" t="inlineStr">
        <is>
          <t>UN</t>
        </is>
      </c>
      <c r="G949" s="84" t="n">
        <v>1</v>
      </c>
      <c r="H949" s="57" t="inlineStr"/>
      <c r="I949" s="139" t="n">
        <v>416.19</v>
      </c>
      <c r="J949" s="140" t="n">
        <v>151.842</v>
      </c>
      <c r="K949" s="86" t="inlineStr">
        <is>
          <t>PEN</t>
        </is>
      </c>
    </row>
    <row r="950">
      <c r="A950" s="84" t="n">
        <v>32005050</v>
      </c>
      <c r="B950" s="82" t="inlineStr">
        <is>
          <t>TPSU</t>
        </is>
      </c>
      <c r="C950" s="82" t="inlineStr">
        <is>
          <t>L001</t>
        </is>
      </c>
      <c r="D950" s="84" t="n">
        <v>1160301</v>
      </c>
      <c r="E950" s="80" t="inlineStr">
        <is>
          <t>ROPA AGUA CASACA JEBE DOBLE FAZ / L</t>
        </is>
      </c>
      <c r="F950" s="67" t="inlineStr">
        <is>
          <t>UN</t>
        </is>
      </c>
      <c r="G950" s="84" t="n">
        <v>11</v>
      </c>
      <c r="H950" s="57" t="inlineStr"/>
      <c r="I950" s="139" t="n">
        <v>1259.4</v>
      </c>
      <c r="J950" s="140" t="n">
        <v>137.63</v>
      </c>
      <c r="K950" s="86" t="inlineStr">
        <is>
          <t>PEN</t>
        </is>
      </c>
    </row>
    <row r="951">
      <c r="A951" s="84" t="n">
        <v>32005052</v>
      </c>
      <c r="B951" s="82" t="inlineStr">
        <is>
          <t>TPSU</t>
        </is>
      </c>
      <c r="C951" s="82" t="inlineStr">
        <is>
          <t>L001</t>
        </is>
      </c>
      <c r="D951" s="84" t="n">
        <v>1160303</v>
      </c>
      <c r="E951" s="80" t="inlineStr">
        <is>
          <t>ROPA AGUA CASACA JEBE DOBLE FAZ / XL</t>
        </is>
      </c>
      <c r="F951" s="67" t="inlineStr">
        <is>
          <t>UN</t>
        </is>
      </c>
      <c r="G951" s="84" t="n">
        <v>3</v>
      </c>
      <c r="H951" s="57" t="inlineStr"/>
      <c r="I951" s="139" t="n">
        <v>346.84</v>
      </c>
      <c r="J951" s="140" t="n">
        <v>30.21166666666666</v>
      </c>
      <c r="K951" s="86" t="inlineStr">
        <is>
          <t>PEN</t>
        </is>
      </c>
    </row>
    <row r="952">
      <c r="A952" s="84" t="n">
        <v>32005470</v>
      </c>
      <c r="B952" s="67" t="inlineStr">
        <is>
          <t>TPSU</t>
        </is>
      </c>
      <c r="C952" s="90" t="inlineStr">
        <is>
          <t>L001</t>
        </is>
      </c>
      <c r="D952" s="84" t="n">
        <v>1160304</v>
      </c>
      <c r="E952" s="80" t="inlineStr">
        <is>
          <t>ROPA AGUA CASACA JEBE DOBLE FAZ FLOT/XL</t>
        </is>
      </c>
      <c r="F952" s="67" t="inlineStr">
        <is>
          <t>UN</t>
        </is>
      </c>
      <c r="G952" s="84" t="n">
        <v>22</v>
      </c>
      <c r="H952" s="57" t="inlineStr">
        <is>
          <t>NUEVO</t>
        </is>
      </c>
      <c r="I952" s="139" t="n">
        <v>2834.27</v>
      </c>
      <c r="J952" s="140" t="n">
        <v>30.2125</v>
      </c>
      <c r="K952" s="86" t="inlineStr">
        <is>
          <t>PEN</t>
        </is>
      </c>
    </row>
    <row r="953">
      <c r="A953" s="84" t="n">
        <v>32005056</v>
      </c>
      <c r="B953" s="67" t="inlineStr">
        <is>
          <t>TPSU</t>
        </is>
      </c>
      <c r="C953" s="90" t="inlineStr">
        <is>
          <t>L001</t>
        </is>
      </c>
      <c r="D953" s="84" t="n">
        <v>1160305</v>
      </c>
      <c r="E953" s="80" t="inlineStr">
        <is>
          <t>ROPA AGUA CASACA JEBE DOBLE FAZ FLOT/M</t>
        </is>
      </c>
      <c r="F953" s="67" t="inlineStr">
        <is>
          <t>UN</t>
        </is>
      </c>
      <c r="G953" s="84" t="n">
        <v>10</v>
      </c>
      <c r="H953" s="57" t="inlineStr">
        <is>
          <t>NUEVO</t>
        </is>
      </c>
      <c r="I953" s="139" t="n">
        <v>1254.58</v>
      </c>
      <c r="J953" s="140" t="n">
        <v>30.21166666666667</v>
      </c>
      <c r="K953" s="86" t="inlineStr">
        <is>
          <t>PEN</t>
        </is>
      </c>
    </row>
    <row r="954">
      <c r="A954" s="84" t="n">
        <v>32005073</v>
      </c>
      <c r="B954" s="67" t="inlineStr">
        <is>
          <t>TPSU</t>
        </is>
      </c>
      <c r="C954" s="90" t="inlineStr">
        <is>
          <t>L001</t>
        </is>
      </c>
      <c r="D954" s="84" t="n">
        <v>1160401</v>
      </c>
      <c r="E954" s="80" t="inlineStr">
        <is>
          <t>ROPA AGUA CASACA TELA JEBE SIST FLOT-M</t>
        </is>
      </c>
      <c r="F954" s="67" t="inlineStr">
        <is>
          <t>UN</t>
        </is>
      </c>
      <c r="G954" s="84" t="n">
        <v>5</v>
      </c>
      <c r="H954" s="57" t="inlineStr">
        <is>
          <t>NUEVO</t>
        </is>
      </c>
      <c r="I954" s="139" t="n">
        <v>445</v>
      </c>
      <c r="J954" s="140" t="n">
        <v>71.93000000000001</v>
      </c>
      <c r="K954" s="86" t="inlineStr">
        <is>
          <t>PEN</t>
        </is>
      </c>
    </row>
    <row r="955">
      <c r="A955" s="84" t="n">
        <v>32005069</v>
      </c>
      <c r="B955" s="67" t="inlineStr">
        <is>
          <t>TPSU</t>
        </is>
      </c>
      <c r="C955" s="90" t="inlineStr">
        <is>
          <t>L001</t>
        </is>
      </c>
      <c r="D955" s="84" t="n">
        <v>1160402</v>
      </c>
      <c r="E955" s="80" t="inlineStr">
        <is>
          <t>ROPA AGUA CASACA TELA JEBE - XXL</t>
        </is>
      </c>
      <c r="F955" s="67" t="inlineStr">
        <is>
          <t>UN</t>
        </is>
      </c>
      <c r="G955" s="84" t="n">
        <v>10</v>
      </c>
      <c r="H955" s="57" t="inlineStr">
        <is>
          <t>0000003434</t>
        </is>
      </c>
      <c r="I955" s="139" t="n">
        <v>700</v>
      </c>
      <c r="J955" s="140" t="n">
        <v>36.03666666666667</v>
      </c>
      <c r="K955" s="86" t="inlineStr">
        <is>
          <t>PEN</t>
        </is>
      </c>
    </row>
    <row r="956">
      <c r="A956" s="84" t="n">
        <v>32005082</v>
      </c>
      <c r="B956" s="67" t="inlineStr">
        <is>
          <t>TPSU</t>
        </is>
      </c>
      <c r="C956" s="90" t="inlineStr">
        <is>
          <t>L001</t>
        </is>
      </c>
      <c r="D956" s="84" t="n">
        <v>1160402</v>
      </c>
      <c r="E956" s="80" t="inlineStr">
        <is>
          <t>ROPA AGUA PANTALON JEBE DOBLE FAZ - XXL</t>
        </is>
      </c>
      <c r="F956" s="67" t="inlineStr">
        <is>
          <t>UN</t>
        </is>
      </c>
      <c r="G956" s="84" t="n">
        <v>5</v>
      </c>
      <c r="H956" s="57" t="inlineStr">
        <is>
          <t>NUEVO</t>
        </is>
      </c>
      <c r="I956" s="139" t="n">
        <v>426.22</v>
      </c>
      <c r="J956" s="140" t="n">
        <v>36.03666666666667</v>
      </c>
      <c r="K956" s="86" t="inlineStr">
        <is>
          <t>PEN</t>
        </is>
      </c>
    </row>
    <row r="957">
      <c r="A957" s="84" t="n">
        <v>32005079</v>
      </c>
      <c r="B957" s="67" t="inlineStr">
        <is>
          <t>TPSU</t>
        </is>
      </c>
      <c r="C957" s="90" t="inlineStr">
        <is>
          <t>L001</t>
        </is>
      </c>
      <c r="D957" s="84" t="n">
        <v>1160403</v>
      </c>
      <c r="E957" s="80" t="inlineStr">
        <is>
          <t>ROPA AGUA PANTALON JEBE DOBLE FAZ - M</t>
        </is>
      </c>
      <c r="F957" s="67" t="inlineStr">
        <is>
          <t>UN</t>
        </is>
      </c>
      <c r="G957" s="84" t="n">
        <v>29</v>
      </c>
      <c r="H957" s="57" t="inlineStr">
        <is>
          <t>NUEVO</t>
        </is>
      </c>
      <c r="I957" s="139" t="n">
        <v>2626.21</v>
      </c>
      <c r="J957" s="140" t="n">
        <v>93.39</v>
      </c>
      <c r="K957" s="86" t="inlineStr">
        <is>
          <t>PEN</t>
        </is>
      </c>
    </row>
    <row r="958">
      <c r="A958" s="84" t="n">
        <v>32005078</v>
      </c>
      <c r="B958" s="67" t="inlineStr">
        <is>
          <t>TPSU</t>
        </is>
      </c>
      <c r="C958" s="90" t="inlineStr">
        <is>
          <t>L001</t>
        </is>
      </c>
      <c r="D958" s="84" t="n">
        <v>1160404</v>
      </c>
      <c r="E958" s="80" t="inlineStr">
        <is>
          <t>ROPA AGUA PANTALON JEBE DOBLE FAZ - L</t>
        </is>
      </c>
      <c r="F958" s="67" t="inlineStr">
        <is>
          <t>UN</t>
        </is>
      </c>
      <c r="G958" s="84" t="n">
        <v>28</v>
      </c>
      <c r="H958" s="57" t="inlineStr">
        <is>
          <t>NUEVO</t>
        </is>
      </c>
      <c r="I958" s="139" t="n">
        <v>2272.9</v>
      </c>
      <c r="J958" s="140" t="n">
        <v>128.72</v>
      </c>
      <c r="K958" s="86" t="inlineStr">
        <is>
          <t>PEN</t>
        </is>
      </c>
    </row>
    <row r="959">
      <c r="A959" s="84" t="n">
        <v>32005631</v>
      </c>
      <c r="B959" s="67" t="inlineStr">
        <is>
          <t>TPSU</t>
        </is>
      </c>
      <c r="C959" s="90" t="inlineStr">
        <is>
          <t>L001</t>
        </is>
      </c>
      <c r="D959" s="84" t="n">
        <v>1160405</v>
      </c>
      <c r="E959" s="80" t="inlineStr">
        <is>
          <t>ROPA AGUA CASACA JEBE DOBLE FAZ / XXL</t>
        </is>
      </c>
      <c r="F959" s="67" t="inlineStr">
        <is>
          <t>UN</t>
        </is>
      </c>
      <c r="G959" s="84" t="n">
        <v>3</v>
      </c>
      <c r="H959" s="57" t="inlineStr"/>
      <c r="I959" s="139" t="n">
        <v>307.8</v>
      </c>
      <c r="J959" s="140" t="n">
        <v>128.725</v>
      </c>
      <c r="K959" s="86" t="inlineStr">
        <is>
          <t>PEN</t>
        </is>
      </c>
    </row>
    <row r="960">
      <c r="A960" s="84" t="n">
        <v>33032818</v>
      </c>
      <c r="B960" s="67" t="inlineStr">
        <is>
          <t>TPSU</t>
        </is>
      </c>
      <c r="C960" s="90" t="inlineStr">
        <is>
          <t>L001</t>
        </is>
      </c>
      <c r="D960" s="84" t="n">
        <v>1170101</v>
      </c>
      <c r="E960" s="80" t="inlineStr">
        <is>
          <t>FILTRO ACEITE DONALDSON P550335/P551251</t>
        </is>
      </c>
      <c r="F960" s="67" t="inlineStr">
        <is>
          <t>UN</t>
        </is>
      </c>
      <c r="G960" s="84" t="n">
        <v>3</v>
      </c>
      <c r="H960" s="57" t="inlineStr">
        <is>
          <t>30052715</t>
        </is>
      </c>
      <c r="I960" s="139" t="n">
        <v>54.96</v>
      </c>
      <c r="J960" s="140" t="n">
        <v>128.725</v>
      </c>
      <c r="K960" s="86" t="inlineStr">
        <is>
          <t>PEN</t>
        </is>
      </c>
    </row>
    <row r="961">
      <c r="A961" s="84" t="n">
        <v>33032933</v>
      </c>
      <c r="B961" s="67" t="inlineStr">
        <is>
          <t>TPSU</t>
        </is>
      </c>
      <c r="C961" s="90" t="inlineStr">
        <is>
          <t>L001</t>
        </is>
      </c>
      <c r="D961" s="84" t="n">
        <v>1170102</v>
      </c>
      <c r="E961" s="80" t="inlineStr">
        <is>
          <t>FILTRO AIRE DONALDSON P607240</t>
        </is>
      </c>
      <c r="F961" s="67" t="inlineStr">
        <is>
          <t>UN</t>
        </is>
      </c>
      <c r="G961" s="84" t="n">
        <v>2</v>
      </c>
      <c r="H961" s="57" t="inlineStr">
        <is>
          <t>G21811409</t>
        </is>
      </c>
      <c r="I961" s="139" t="n">
        <v>102.62</v>
      </c>
      <c r="J961" s="140" t="n">
        <v>232.045</v>
      </c>
      <c r="K961" s="86" t="inlineStr">
        <is>
          <t>PEN</t>
        </is>
      </c>
    </row>
    <row r="962">
      <c r="A962" s="84" t="n">
        <v>33040584</v>
      </c>
      <c r="B962" s="67" t="inlineStr">
        <is>
          <t>TPSU</t>
        </is>
      </c>
      <c r="C962" s="90" t="inlineStr">
        <is>
          <t>L001</t>
        </is>
      </c>
      <c r="D962" s="84" t="n">
        <v>1170103</v>
      </c>
      <c r="E962" s="80" t="inlineStr">
        <is>
          <t>KIT DE FILTRO DE COMBUSTIBLE RE527961</t>
        </is>
      </c>
      <c r="F962" s="67" t="inlineStr">
        <is>
          <t>UN</t>
        </is>
      </c>
      <c r="G962" s="84" t="n">
        <v>4</v>
      </c>
      <c r="H962" s="57" t="inlineStr"/>
      <c r="I962" s="139" t="n">
        <v>2395.98</v>
      </c>
      <c r="J962" s="140" t="n">
        <v>52.93</v>
      </c>
      <c r="K962" s="86" t="inlineStr">
        <is>
          <t>PEN</t>
        </is>
      </c>
    </row>
    <row r="963">
      <c r="A963" s="84" t="n">
        <v>33032911</v>
      </c>
      <c r="B963" s="67" t="inlineStr">
        <is>
          <t>TPSU</t>
        </is>
      </c>
      <c r="C963" s="90" t="inlineStr">
        <is>
          <t>L001</t>
        </is>
      </c>
      <c r="D963" s="84" t="n">
        <v>1170104</v>
      </c>
      <c r="E963" s="80" t="inlineStr">
        <is>
          <t>FILTRO AIRE CUMMINS AH19002</t>
        </is>
      </c>
      <c r="F963" s="67" t="inlineStr">
        <is>
          <t>UN</t>
        </is>
      </c>
      <c r="G963" s="84" t="n">
        <v>1</v>
      </c>
      <c r="H963" s="57" t="inlineStr">
        <is>
          <t>31.12.2022</t>
        </is>
      </c>
      <c r="I963" s="139" t="n">
        <v>229.36</v>
      </c>
      <c r="J963" s="140" t="n">
        <v>216.31</v>
      </c>
      <c r="K963" s="86" t="inlineStr">
        <is>
          <t>PEN</t>
        </is>
      </c>
    </row>
    <row r="964">
      <c r="A964" s="84" t="n">
        <v>33029850</v>
      </c>
      <c r="B964" s="67" t="inlineStr">
        <is>
          <t>TPSU</t>
        </is>
      </c>
      <c r="C964" s="90" t="inlineStr">
        <is>
          <t>L001</t>
        </is>
      </c>
      <c r="D964" s="84" t="n">
        <v>1170105</v>
      </c>
      <c r="E964" s="80" t="inlineStr">
        <is>
          <t>AIR FILTER 8N-6309</t>
        </is>
      </c>
      <c r="F964" s="67" t="inlineStr">
        <is>
          <t>UN</t>
        </is>
      </c>
      <c r="G964" s="84" t="n">
        <v>1</v>
      </c>
      <c r="H964" s="57" t="inlineStr">
        <is>
          <t>700281667</t>
        </is>
      </c>
      <c r="I964" s="139" t="n">
        <v>477.16</v>
      </c>
      <c r="J964" s="140" t="n">
        <v>22.98083333333333</v>
      </c>
      <c r="K964" s="86" t="inlineStr">
        <is>
          <t>PEN</t>
        </is>
      </c>
    </row>
    <row r="965">
      <c r="A965" s="84" t="n">
        <v>33032823</v>
      </c>
      <c r="B965" s="67" t="inlineStr">
        <is>
          <t>TPSU</t>
        </is>
      </c>
      <c r="C965" s="90" t="inlineStr">
        <is>
          <t>L001</t>
        </is>
      </c>
      <c r="D965" s="84" t="n">
        <v>1170201</v>
      </c>
      <c r="E965" s="80" t="inlineStr">
        <is>
          <t>FILTRO ACEITE DONALDSON P551352</t>
        </is>
      </c>
      <c r="F965" s="67" t="inlineStr">
        <is>
          <t>UN</t>
        </is>
      </c>
      <c r="G965" s="84" t="n">
        <v>5</v>
      </c>
      <c r="H965" s="57" t="inlineStr">
        <is>
          <t>GR212</t>
        </is>
      </c>
      <c r="I965" s="139" t="n">
        <v>105.68</v>
      </c>
      <c r="J965" s="140" t="n">
        <v>1647.37</v>
      </c>
      <c r="K965" s="86" t="inlineStr">
        <is>
          <t>PEN</t>
        </is>
      </c>
    </row>
    <row r="966">
      <c r="A966" s="84" t="n">
        <v>33032823</v>
      </c>
      <c r="B966" s="67" t="inlineStr">
        <is>
          <t>TPSU</t>
        </is>
      </c>
      <c r="C966" s="90" t="inlineStr">
        <is>
          <t>L001</t>
        </is>
      </c>
      <c r="D966" s="84" t="n">
        <v>1170201</v>
      </c>
      <c r="E966" s="80" t="inlineStr">
        <is>
          <t>FILTRO ACEITE DONALDSON P551352</t>
        </is>
      </c>
      <c r="F966" s="67" t="inlineStr">
        <is>
          <t>UN</t>
        </is>
      </c>
      <c r="G966" s="84" t="n">
        <v>2</v>
      </c>
      <c r="H966" s="57" t="inlineStr">
        <is>
          <t>GR613854</t>
        </is>
      </c>
      <c r="I966" s="139" t="n">
        <v>42.27</v>
      </c>
      <c r="J966" s="140" t="n">
        <v>59.345</v>
      </c>
      <c r="K966" s="86" t="inlineStr">
        <is>
          <t>PEN</t>
        </is>
      </c>
    </row>
    <row r="967">
      <c r="A967" s="84" t="n">
        <v>33032823</v>
      </c>
      <c r="B967" s="67" t="inlineStr">
        <is>
          <t>TPSU</t>
        </is>
      </c>
      <c r="C967" s="90" t="inlineStr">
        <is>
          <t>L001</t>
        </is>
      </c>
      <c r="D967" s="84" t="n">
        <v>1170201</v>
      </c>
      <c r="E967" s="80" t="inlineStr">
        <is>
          <t>FILTRO ACEITE DONALDSON P551352</t>
        </is>
      </c>
      <c r="F967" s="67" t="inlineStr">
        <is>
          <t>UN</t>
        </is>
      </c>
      <c r="G967" s="84" t="n">
        <v>7</v>
      </c>
      <c r="H967" s="57" t="inlineStr">
        <is>
          <t>GR613862</t>
        </is>
      </c>
      <c r="I967" s="139" t="n">
        <v>147.95</v>
      </c>
      <c r="J967" s="140" t="n">
        <v>36.12</v>
      </c>
      <c r="K967" s="86" t="inlineStr">
        <is>
          <t>PEN</t>
        </is>
      </c>
    </row>
    <row r="968">
      <c r="A968" s="84" t="n">
        <v>33045817</v>
      </c>
      <c r="B968" s="67" t="inlineStr">
        <is>
          <t>TPSU</t>
        </is>
      </c>
      <c r="C968" s="90" t="inlineStr">
        <is>
          <t>L001</t>
        </is>
      </c>
      <c r="D968" s="84" t="n">
        <v>1170202</v>
      </c>
      <c r="E968" s="80" t="inlineStr">
        <is>
          <t>COOLANT FILTER WF2076 FLEETGUARD</t>
        </is>
      </c>
      <c r="F968" s="67" t="inlineStr">
        <is>
          <t>UN</t>
        </is>
      </c>
      <c r="G968" s="84" t="n">
        <v>1</v>
      </c>
      <c r="H968" s="57" t="inlineStr"/>
      <c r="I968" s="139" t="n">
        <v>72.55</v>
      </c>
      <c r="J968" s="140" t="n">
        <v>145</v>
      </c>
      <c r="K968" s="86" t="inlineStr">
        <is>
          <t>PEN</t>
        </is>
      </c>
    </row>
    <row r="969">
      <c r="A969" s="84" t="n">
        <v>33032741</v>
      </c>
      <c r="B969" s="67" t="inlineStr">
        <is>
          <t>TPSU</t>
        </is>
      </c>
      <c r="C969" s="90" t="inlineStr">
        <is>
          <t>L001</t>
        </is>
      </c>
      <c r="D969" s="84" t="n">
        <v>1170202</v>
      </c>
      <c r="E969" s="80" t="inlineStr">
        <is>
          <t>FILTER AS-ENGINE OIL   1R-0726</t>
        </is>
      </c>
      <c r="F969" s="67" t="inlineStr">
        <is>
          <t>UN</t>
        </is>
      </c>
      <c r="G969" s="84" t="n">
        <v>3</v>
      </c>
      <c r="H969" s="57" t="inlineStr">
        <is>
          <t>081622B</t>
        </is>
      </c>
      <c r="I969" s="139" t="n">
        <v>755.1900000000001</v>
      </c>
      <c r="J969" s="140" t="n">
        <v>0</v>
      </c>
      <c r="K969" s="86" t="inlineStr">
        <is>
          <t>PEN</t>
        </is>
      </c>
    </row>
    <row r="970">
      <c r="A970" s="84" t="n">
        <v>33035325</v>
      </c>
      <c r="B970" s="67" t="inlineStr">
        <is>
          <t>TPSU</t>
        </is>
      </c>
      <c r="C970" s="90" t="inlineStr">
        <is>
          <t>L001</t>
        </is>
      </c>
      <c r="D970" s="84" t="n">
        <v>1170202</v>
      </c>
      <c r="E970" s="80" t="inlineStr">
        <is>
          <t>OIL FILTER 328-21600</t>
        </is>
      </c>
      <c r="F970" s="67" t="inlineStr">
        <is>
          <t>UN</t>
        </is>
      </c>
      <c r="G970" s="84" t="n">
        <v>1</v>
      </c>
      <c r="H970" s="57" t="inlineStr">
        <is>
          <t>CC0</t>
        </is>
      </c>
      <c r="I970" s="139" t="n">
        <v>39.22</v>
      </c>
      <c r="J970" s="140" t="n">
        <v>0</v>
      </c>
      <c r="K970" s="86" t="inlineStr">
        <is>
          <t>PEN</t>
        </is>
      </c>
    </row>
    <row r="971">
      <c r="A971" s="84" t="n">
        <v>33035325</v>
      </c>
      <c r="B971" s="67" t="inlineStr">
        <is>
          <t>TPSU</t>
        </is>
      </c>
      <c r="C971" s="90" t="inlineStr">
        <is>
          <t>L001</t>
        </is>
      </c>
      <c r="D971" s="84" t="n">
        <v>1170202</v>
      </c>
      <c r="E971" s="80" t="inlineStr">
        <is>
          <t>OIL FILTER 328-21600</t>
        </is>
      </c>
      <c r="F971" s="67" t="inlineStr">
        <is>
          <t>UN</t>
        </is>
      </c>
      <c r="G971" s="84" t="n">
        <v>2</v>
      </c>
      <c r="H971" s="57" t="inlineStr">
        <is>
          <t>CI8</t>
        </is>
      </c>
      <c r="I971" s="139" t="n">
        <v>78.44</v>
      </c>
      <c r="J971" s="140" t="n">
        <v>0</v>
      </c>
      <c r="K971" s="86" t="inlineStr">
        <is>
          <t>PEN</t>
        </is>
      </c>
    </row>
    <row r="972">
      <c r="A972" s="84" t="n">
        <v>33032018</v>
      </c>
      <c r="B972" s="67" t="inlineStr">
        <is>
          <t>TPSU</t>
        </is>
      </c>
      <c r="C972" s="90" t="inlineStr">
        <is>
          <t>L001</t>
        </is>
      </c>
      <c r="D972" s="84" t="n">
        <v>1170203</v>
      </c>
      <c r="E972" s="80" t="inlineStr">
        <is>
          <t>ELEMENT 177-7375</t>
        </is>
      </c>
      <c r="F972" s="67" t="inlineStr">
        <is>
          <t>UN</t>
        </is>
      </c>
      <c r="G972" s="84" t="n">
        <v>1</v>
      </c>
      <c r="H972" s="57" t="inlineStr">
        <is>
          <t>P5026</t>
        </is>
      </c>
      <c r="I972" s="139" t="n">
        <v>853.34</v>
      </c>
      <c r="J972" s="140" t="n">
        <v>28.795</v>
      </c>
      <c r="K972" s="86" t="inlineStr">
        <is>
          <t>PEN</t>
        </is>
      </c>
    </row>
    <row r="973">
      <c r="A973" s="84" t="n">
        <v>33032734</v>
      </c>
      <c r="B973" s="67" t="inlineStr">
        <is>
          <t>TPSU</t>
        </is>
      </c>
      <c r="C973" s="90" t="inlineStr">
        <is>
          <t>L001</t>
        </is>
      </c>
      <c r="D973" s="84" t="n">
        <v>1170203</v>
      </c>
      <c r="E973" s="80" t="inlineStr">
        <is>
          <t>FILTER A FUEL 133-5673</t>
        </is>
      </c>
      <c r="F973" s="67" t="inlineStr">
        <is>
          <t>UN</t>
        </is>
      </c>
      <c r="G973" s="84" t="n">
        <v>2</v>
      </c>
      <c r="H973" s="57" t="inlineStr">
        <is>
          <t>700258458</t>
        </is>
      </c>
      <c r="I973" s="139" t="n">
        <v>367.78</v>
      </c>
      <c r="J973" s="140" t="n">
        <v>68.95999999999999</v>
      </c>
      <c r="K973" s="86" t="inlineStr">
        <is>
          <t>PEN</t>
        </is>
      </c>
    </row>
    <row r="974">
      <c r="A974" s="84" t="n">
        <v>33033177</v>
      </c>
      <c r="B974" s="67" t="inlineStr">
        <is>
          <t>TPSU</t>
        </is>
      </c>
      <c r="C974" s="90" t="inlineStr">
        <is>
          <t>L001</t>
        </is>
      </c>
      <c r="D974" s="84" t="n">
        <v>1170204</v>
      </c>
      <c r="E974" s="80" t="inlineStr">
        <is>
          <t>FILTRO SOOT 4N-7808</t>
        </is>
      </c>
      <c r="F974" s="67" t="inlineStr">
        <is>
          <t>UN</t>
        </is>
      </c>
      <c r="G974" s="84" t="n">
        <v>4</v>
      </c>
      <c r="H974" s="57" t="inlineStr">
        <is>
          <t>G700260064</t>
        </is>
      </c>
      <c r="I974" s="139" t="n">
        <v>279.3</v>
      </c>
      <c r="J974" s="140" t="n">
        <v>55.1975</v>
      </c>
      <c r="K974" s="86" t="inlineStr">
        <is>
          <t>PEN</t>
        </is>
      </c>
    </row>
    <row r="975">
      <c r="A975" s="84" t="n">
        <v>33032824</v>
      </c>
      <c r="B975" s="67" t="inlineStr">
        <is>
          <t>TPSU</t>
        </is>
      </c>
      <c r="C975" s="90" t="inlineStr">
        <is>
          <t>L001</t>
        </is>
      </c>
      <c r="D975" s="84" t="n">
        <v>1170301</v>
      </c>
      <c r="E975" s="80" t="inlineStr">
        <is>
          <t>FILTRO ACEITE DONALDSON P551670</t>
        </is>
      </c>
      <c r="F975" s="67" t="inlineStr">
        <is>
          <t>UN</t>
        </is>
      </c>
      <c r="G975" s="84" t="n">
        <v>4</v>
      </c>
      <c r="H975" s="57" t="inlineStr">
        <is>
          <t>G218239</t>
        </is>
      </c>
      <c r="I975" s="139" t="n">
        <v>104.3</v>
      </c>
      <c r="J975" s="140" t="n">
        <v>75.16</v>
      </c>
      <c r="K975" s="86" t="inlineStr">
        <is>
          <t>PEN</t>
        </is>
      </c>
    </row>
    <row r="976">
      <c r="A976" s="84" t="n">
        <v>33033086</v>
      </c>
      <c r="B976" s="67" t="inlineStr">
        <is>
          <t>TPSU</t>
        </is>
      </c>
      <c r="C976" s="90" t="inlineStr">
        <is>
          <t>L001</t>
        </is>
      </c>
      <c r="D976" s="84" t="n">
        <v>1170301</v>
      </c>
      <c r="E976" s="80" t="inlineStr">
        <is>
          <t>FILTRO PETROLEO DONALDSON P551311</t>
        </is>
      </c>
      <c r="F976" s="67" t="inlineStr">
        <is>
          <t>UN</t>
        </is>
      </c>
      <c r="G976" s="84" t="n">
        <v>2</v>
      </c>
      <c r="H976" s="57" t="inlineStr">
        <is>
          <t>G218244</t>
        </is>
      </c>
      <c r="I976" s="139" t="n">
        <v>70.87</v>
      </c>
      <c r="J976" s="140" t="n">
        <v>36.12</v>
      </c>
      <c r="K976" s="86" t="inlineStr">
        <is>
          <t>PEN</t>
        </is>
      </c>
    </row>
    <row r="977">
      <c r="A977" s="84" t="n">
        <v>33033086</v>
      </c>
      <c r="B977" s="67" t="inlineStr">
        <is>
          <t>TPSU</t>
        </is>
      </c>
      <c r="C977" s="90" t="inlineStr">
        <is>
          <t>L001</t>
        </is>
      </c>
      <c r="D977" s="84" t="n">
        <v>1170301</v>
      </c>
      <c r="E977" s="80" t="inlineStr">
        <is>
          <t>FILTRO PETROLEO DONALDSON P551311</t>
        </is>
      </c>
      <c r="F977" s="67" t="inlineStr">
        <is>
          <t>UN</t>
        </is>
      </c>
      <c r="G977" s="84" t="n">
        <v>2</v>
      </c>
      <c r="H977" s="57" t="inlineStr">
        <is>
          <t>GR0000317</t>
        </is>
      </c>
      <c r="I977" s="139" t="n">
        <v>70.87</v>
      </c>
      <c r="J977" s="140" t="n">
        <v>180</v>
      </c>
      <c r="K977" s="86" t="inlineStr">
        <is>
          <t>PEN</t>
        </is>
      </c>
    </row>
    <row r="978">
      <c r="A978" s="84" t="n">
        <v>33033095</v>
      </c>
      <c r="B978" s="67" t="inlineStr">
        <is>
          <t>TPSU</t>
        </is>
      </c>
      <c r="C978" s="90" t="inlineStr">
        <is>
          <t>L001</t>
        </is>
      </c>
      <c r="D978" s="84" t="n">
        <v>1170301</v>
      </c>
      <c r="E978" s="80" t="inlineStr">
        <is>
          <t>FILTRO PETROLEO DONALDSON P556916</t>
        </is>
      </c>
      <c r="F978" s="67" t="inlineStr">
        <is>
          <t>UN</t>
        </is>
      </c>
      <c r="G978" s="84" t="n">
        <v>1</v>
      </c>
      <c r="H978" s="57" t="inlineStr">
        <is>
          <t>G061002764</t>
        </is>
      </c>
      <c r="I978" s="139" t="n">
        <v>15.54</v>
      </c>
      <c r="J978" s="140" t="n">
        <v>98.8875</v>
      </c>
      <c r="K978" s="86" t="inlineStr">
        <is>
          <t>PEN</t>
        </is>
      </c>
    </row>
    <row r="979">
      <c r="A979" s="84" t="n">
        <v>33040372</v>
      </c>
      <c r="B979" s="67" t="inlineStr">
        <is>
          <t>TPSU</t>
        </is>
      </c>
      <c r="C979" s="90" t="inlineStr">
        <is>
          <t>L001</t>
        </is>
      </c>
      <c r="D979" s="84" t="n">
        <v>1170302</v>
      </c>
      <c r="E979" s="80" t="inlineStr">
        <is>
          <t>FILTRO ACEITE JHON DEERE DZ118286</t>
        </is>
      </c>
      <c r="F979" s="67" t="inlineStr">
        <is>
          <t>UN</t>
        </is>
      </c>
      <c r="G979" s="84" t="n">
        <v>3</v>
      </c>
      <c r="H979" s="57" t="inlineStr">
        <is>
          <t>G111631</t>
        </is>
      </c>
      <c r="I979" s="139" t="n">
        <v>196.6</v>
      </c>
      <c r="J979" s="140" t="n">
        <v>98.88500000000001</v>
      </c>
      <c r="K979" s="86" t="inlineStr">
        <is>
          <t>PEN</t>
        </is>
      </c>
    </row>
    <row r="980">
      <c r="A980" s="84" t="n">
        <v>33032964</v>
      </c>
      <c r="B980" s="67" t="inlineStr">
        <is>
          <t>TPSU</t>
        </is>
      </c>
      <c r="C980" s="90" t="inlineStr">
        <is>
          <t>L001</t>
        </is>
      </c>
      <c r="D980" s="84" t="n">
        <v>1170302</v>
      </c>
      <c r="E980" s="80" t="inlineStr">
        <is>
          <t>FILTRO COMBUSTIBLE CUMMINS FF5488</t>
        </is>
      </c>
      <c r="F980" s="67" t="inlineStr">
        <is>
          <t>UN</t>
        </is>
      </c>
      <c r="G980" s="84" t="n">
        <v>1</v>
      </c>
      <c r="H980" s="57" t="inlineStr">
        <is>
          <t>21293</t>
        </is>
      </c>
      <c r="I980" s="139" t="n">
        <v>24.23</v>
      </c>
      <c r="J980" s="140" t="n">
        <v>124.615</v>
      </c>
      <c r="K980" s="86" t="inlineStr">
        <is>
          <t>PEN</t>
        </is>
      </c>
    </row>
    <row r="981">
      <c r="A981" s="84" t="n">
        <v>33032028</v>
      </c>
      <c r="B981" s="67" t="inlineStr">
        <is>
          <t>TPSU</t>
        </is>
      </c>
      <c r="C981" s="90" t="inlineStr">
        <is>
          <t>L001</t>
        </is>
      </c>
      <c r="D981" s="84" t="n">
        <v>1170303</v>
      </c>
      <c r="E981" s="80" t="inlineStr">
        <is>
          <t>ELEMENT AS FUEL FILTER 1R-0756</t>
        </is>
      </c>
      <c r="F981" s="67" t="inlineStr">
        <is>
          <t>UN</t>
        </is>
      </c>
      <c r="G981" s="84" t="n">
        <v>5</v>
      </c>
      <c r="H981" s="57" t="inlineStr">
        <is>
          <t>102722B</t>
        </is>
      </c>
      <c r="I981" s="139" t="n">
        <v>759.21</v>
      </c>
      <c r="J981" s="140" t="n">
        <v>69.08</v>
      </c>
      <c r="K981" s="86" t="inlineStr">
        <is>
          <t>PEN</t>
        </is>
      </c>
    </row>
    <row r="982">
      <c r="A982" s="84" t="n">
        <v>33032930</v>
      </c>
      <c r="B982" s="67" t="inlineStr">
        <is>
          <t>TPSU</t>
        </is>
      </c>
      <c r="C982" s="90" t="inlineStr">
        <is>
          <t>L001</t>
        </is>
      </c>
      <c r="D982" s="84" t="n">
        <v>1170303</v>
      </c>
      <c r="E982" s="80" t="inlineStr">
        <is>
          <t>FILTRO AIRE DONALDSON P527682</t>
        </is>
      </c>
      <c r="F982" s="67" t="inlineStr">
        <is>
          <t>UN</t>
        </is>
      </c>
      <c r="G982" s="84" t="n">
        <v>1</v>
      </c>
      <c r="H982" s="57" t="inlineStr">
        <is>
          <t>G061002585</t>
        </is>
      </c>
      <c r="I982" s="139" t="n">
        <v>137.63</v>
      </c>
      <c r="J982" s="140" t="n">
        <v>832.89</v>
      </c>
      <c r="K982" s="86" t="inlineStr">
        <is>
          <t>PEN</t>
        </is>
      </c>
    </row>
    <row r="983">
      <c r="A983" s="84" t="n">
        <v>33032008</v>
      </c>
      <c r="B983" s="67" t="inlineStr">
        <is>
          <t>TPSU</t>
        </is>
      </c>
      <c r="C983" s="90" t="inlineStr">
        <is>
          <t>L001</t>
        </is>
      </c>
      <c r="D983" s="84" t="n">
        <v>1170304</v>
      </c>
      <c r="E983" s="80" t="inlineStr">
        <is>
          <t>ELEM. FILTRO PETR./SEP.AGUA RACOR 2020SM</t>
        </is>
      </c>
      <c r="F983" s="67" t="inlineStr">
        <is>
          <t>UN</t>
        </is>
      </c>
      <c r="G983" s="84" t="n">
        <v>36</v>
      </c>
      <c r="H983" s="57" t="inlineStr">
        <is>
          <t>020822</t>
        </is>
      </c>
      <c r="I983" s="139" t="n">
        <v>1087.62</v>
      </c>
      <c r="J983" s="140" t="n">
        <v>832.89</v>
      </c>
      <c r="K983" s="86" t="inlineStr">
        <is>
          <t>PEN</t>
        </is>
      </c>
    </row>
    <row r="984">
      <c r="A984" s="84" t="n">
        <v>33032008</v>
      </c>
      <c r="B984" s="67" t="inlineStr">
        <is>
          <t>TPSU</t>
        </is>
      </c>
      <c r="C984" s="90" t="inlineStr">
        <is>
          <t>L001</t>
        </is>
      </c>
      <c r="D984" s="84" t="n">
        <v>1170304</v>
      </c>
      <c r="E984" s="80" t="inlineStr">
        <is>
          <t>ELEM. FILTRO PETR./SEP.AGUA RACOR 2020SM</t>
        </is>
      </c>
      <c r="F984" s="67" t="inlineStr">
        <is>
          <t>UN</t>
        </is>
      </c>
      <c r="G984" s="84" t="n">
        <v>4</v>
      </c>
      <c r="H984" s="57" t="inlineStr">
        <is>
          <t>021821</t>
        </is>
      </c>
      <c r="I984" s="139" t="n">
        <v>120.85</v>
      </c>
      <c r="J984" s="140" t="n">
        <v>710.155</v>
      </c>
      <c r="K984" s="86" t="inlineStr">
        <is>
          <t>PEN</t>
        </is>
      </c>
    </row>
    <row r="985">
      <c r="A985" s="84" t="n">
        <v>33032008</v>
      </c>
      <c r="B985" s="67" t="inlineStr">
        <is>
          <t>TPSU</t>
        </is>
      </c>
      <c r="C985" s="90" t="inlineStr">
        <is>
          <t>L001</t>
        </is>
      </c>
      <c r="D985" s="84" t="n">
        <v>1170304</v>
      </c>
      <c r="E985" s="80" t="inlineStr">
        <is>
          <t>ELEM. FILTRO PETR./SEP.AGUA RACOR 2020SM</t>
        </is>
      </c>
      <c r="F985" s="67" t="inlineStr">
        <is>
          <t>UN</t>
        </is>
      </c>
      <c r="G985" s="84" t="n">
        <v>30</v>
      </c>
      <c r="H985" s="57" t="inlineStr">
        <is>
          <t>022522</t>
        </is>
      </c>
      <c r="I985" s="139" t="n">
        <v>906.35</v>
      </c>
      <c r="J985" s="140" t="n">
        <v>159.95</v>
      </c>
      <c r="K985" s="86" t="inlineStr">
        <is>
          <t>PEN</t>
        </is>
      </c>
    </row>
    <row r="986">
      <c r="A986" s="84" t="n">
        <v>33032809</v>
      </c>
      <c r="B986" s="67" t="inlineStr">
        <is>
          <t>TPSU</t>
        </is>
      </c>
      <c r="C986" s="90" t="inlineStr">
        <is>
          <t>L001</t>
        </is>
      </c>
      <c r="D986" s="84" t="n">
        <v>1170401</v>
      </c>
      <c r="E986" s="80" t="inlineStr">
        <is>
          <t>FILTRO ACEITE CUMMINS LF9009</t>
        </is>
      </c>
      <c r="F986" s="67" t="inlineStr">
        <is>
          <t>UN</t>
        </is>
      </c>
      <c r="G986" s="84" t="n">
        <v>1</v>
      </c>
      <c r="H986" s="57" t="inlineStr">
        <is>
          <t>2217416181</t>
        </is>
      </c>
      <c r="I986" s="139" t="n">
        <v>71.93000000000001</v>
      </c>
      <c r="J986" s="140" t="n">
        <v>159.9475</v>
      </c>
      <c r="K986" s="86" t="inlineStr">
        <is>
          <t>PEN</t>
        </is>
      </c>
    </row>
    <row r="987">
      <c r="A987" s="84" t="n">
        <v>33032827</v>
      </c>
      <c r="B987" s="67" t="inlineStr">
        <is>
          <t>TPSU</t>
        </is>
      </c>
      <c r="C987" s="90" t="inlineStr">
        <is>
          <t>L001</t>
        </is>
      </c>
      <c r="D987" s="84" t="n">
        <v>1170401</v>
      </c>
      <c r="E987" s="80" t="inlineStr">
        <is>
          <t>FILTRO ACEITE DONALDSON P554005</t>
        </is>
      </c>
      <c r="F987" s="67" t="inlineStr">
        <is>
          <t>UN</t>
        </is>
      </c>
      <c r="G987" s="84" t="n">
        <v>3</v>
      </c>
      <c r="H987" s="57" t="inlineStr">
        <is>
          <t>G218295</t>
        </is>
      </c>
      <c r="I987" s="139" t="n">
        <v>108.11</v>
      </c>
      <c r="J987" s="140" t="n">
        <v>20.9</v>
      </c>
      <c r="K987" s="86" t="inlineStr">
        <is>
          <t>PEN</t>
        </is>
      </c>
    </row>
    <row r="988">
      <c r="A988" s="84" t="n">
        <v>33032827</v>
      </c>
      <c r="B988" s="67" t="inlineStr">
        <is>
          <t>TPSU</t>
        </is>
      </c>
      <c r="C988" s="90" t="inlineStr">
        <is>
          <t>L001</t>
        </is>
      </c>
      <c r="D988" s="84" t="n">
        <v>1170401</v>
      </c>
      <c r="E988" s="80" t="inlineStr">
        <is>
          <t>FILTRO ACEITE DONALDSON P554005</t>
        </is>
      </c>
      <c r="F988" s="67" t="inlineStr">
        <is>
          <t>UN</t>
        </is>
      </c>
      <c r="G988" s="84" t="n">
        <v>3</v>
      </c>
      <c r="H988" s="57" t="inlineStr">
        <is>
          <t>NUEVO</t>
        </is>
      </c>
      <c r="I988" s="139" t="n">
        <v>108.11</v>
      </c>
      <c r="J988" s="140" t="n">
        <v>38.9</v>
      </c>
      <c r="K988" s="86" t="inlineStr">
        <is>
          <t>PEN</t>
        </is>
      </c>
    </row>
    <row r="989">
      <c r="A989" s="84" t="n">
        <v>33033107</v>
      </c>
      <c r="B989" s="67" t="inlineStr">
        <is>
          <t>TPSU</t>
        </is>
      </c>
      <c r="C989" s="90" t="inlineStr">
        <is>
          <t>L001</t>
        </is>
      </c>
      <c r="D989" s="84" t="n">
        <v>1170402</v>
      </c>
      <c r="E989" s="80" t="inlineStr">
        <is>
          <t>FILTRO PETROLEO JHON DEERE AR86745</t>
        </is>
      </c>
      <c r="F989" s="67" t="inlineStr">
        <is>
          <t>UN</t>
        </is>
      </c>
      <c r="G989" s="84" t="n">
        <v>1</v>
      </c>
      <c r="H989" s="57" t="inlineStr">
        <is>
          <t>0001807311</t>
        </is>
      </c>
      <c r="I989" s="139" t="n">
        <v>93.39</v>
      </c>
      <c r="J989" s="140" t="n">
        <v>38.9</v>
      </c>
      <c r="K989" s="86" t="inlineStr">
        <is>
          <t>PEN</t>
        </is>
      </c>
    </row>
    <row r="990">
      <c r="A990" s="84" t="n">
        <v>33033111</v>
      </c>
      <c r="B990" s="67" t="inlineStr">
        <is>
          <t>TPSU</t>
        </is>
      </c>
      <c r="C990" s="90" t="inlineStr">
        <is>
          <t>L001</t>
        </is>
      </c>
      <c r="D990" s="84" t="n">
        <v>1170402</v>
      </c>
      <c r="E990" s="80" t="inlineStr">
        <is>
          <t>FILTRO PETROLEO JHON DEERE RE62420</t>
        </is>
      </c>
      <c r="F990" s="67" t="inlineStr">
        <is>
          <t>UN</t>
        </is>
      </c>
      <c r="G990" s="84" t="n">
        <v>1</v>
      </c>
      <c r="H990" s="57" t="inlineStr">
        <is>
          <t>01-0010975</t>
        </is>
      </c>
      <c r="I990" s="139" t="n">
        <v>128.72</v>
      </c>
      <c r="J990" s="140" t="n">
        <v>63.46</v>
      </c>
      <c r="K990" s="86" t="inlineStr">
        <is>
          <t>PEN</t>
        </is>
      </c>
    </row>
    <row r="991">
      <c r="A991" s="84" t="n">
        <v>33033111</v>
      </c>
      <c r="B991" s="67" t="inlineStr">
        <is>
          <t>TPSU</t>
        </is>
      </c>
      <c r="C991" s="90" t="inlineStr">
        <is>
          <t>L001</t>
        </is>
      </c>
      <c r="D991" s="84" t="n">
        <v>1170402</v>
      </c>
      <c r="E991" s="80" t="inlineStr">
        <is>
          <t>FILTRO PETROLEO JHON DEERE RE62420</t>
        </is>
      </c>
      <c r="F991" s="67" t="inlineStr">
        <is>
          <t>UN</t>
        </is>
      </c>
      <c r="G991" s="84" t="n">
        <v>2</v>
      </c>
      <c r="H991" s="57" t="inlineStr">
        <is>
          <t>G0025485</t>
        </is>
      </c>
      <c r="I991" s="139" t="n">
        <v>257.45</v>
      </c>
      <c r="J991" s="140" t="n">
        <v>16.51</v>
      </c>
      <c r="K991" s="86" t="inlineStr">
        <is>
          <t>PEN</t>
        </is>
      </c>
    </row>
    <row r="992">
      <c r="A992" s="84" t="n">
        <v>33033111</v>
      </c>
      <c r="B992" s="67" t="inlineStr">
        <is>
          <t>TPSU</t>
        </is>
      </c>
      <c r="C992" s="90" t="inlineStr">
        <is>
          <t>L001</t>
        </is>
      </c>
      <c r="D992" s="84" t="n">
        <v>1170402</v>
      </c>
      <c r="E992" s="80" t="inlineStr">
        <is>
          <t>FILTRO PETROLEO JHON DEERE RE62420</t>
        </is>
      </c>
      <c r="F992" s="67" t="inlineStr">
        <is>
          <t>UN</t>
        </is>
      </c>
      <c r="G992" s="84" t="n">
        <v>4</v>
      </c>
      <c r="H992" s="57" t="inlineStr">
        <is>
          <t>G11104</t>
        </is>
      </c>
      <c r="I992" s="139" t="n">
        <v>514.9</v>
      </c>
      <c r="J992" s="140" t="n">
        <v>36.96</v>
      </c>
      <c r="K992" s="86" t="inlineStr">
        <is>
          <t>PEN</t>
        </is>
      </c>
    </row>
    <row r="993">
      <c r="A993" s="84" t="n">
        <v>33033121</v>
      </c>
      <c r="B993" s="67" t="inlineStr">
        <is>
          <t>TPSU</t>
        </is>
      </c>
      <c r="C993" s="90" t="inlineStr">
        <is>
          <t>L001</t>
        </is>
      </c>
      <c r="D993" s="84" t="n">
        <v>1170403</v>
      </c>
      <c r="E993" s="80" t="inlineStr">
        <is>
          <t>FILTRO PETROLEO RE 521538</t>
        </is>
      </c>
      <c r="F993" s="67" t="inlineStr">
        <is>
          <t>UN</t>
        </is>
      </c>
      <c r="G993" s="84" t="n">
        <v>4</v>
      </c>
      <c r="H993" s="57" t="inlineStr">
        <is>
          <t>G1-12957</t>
        </is>
      </c>
      <c r="I993" s="139" t="n">
        <v>928.1799999999999</v>
      </c>
      <c r="J993" s="140" t="n">
        <v>96.29000000000001</v>
      </c>
      <c r="K993" s="86" t="inlineStr">
        <is>
          <t>PEN</t>
        </is>
      </c>
    </row>
    <row r="994">
      <c r="A994" s="84" t="n">
        <v>33033168</v>
      </c>
      <c r="B994" s="67" t="inlineStr">
        <is>
          <t>TPSU</t>
        </is>
      </c>
      <c r="C994" s="90" t="inlineStr">
        <is>
          <t>L001</t>
        </is>
      </c>
      <c r="D994" s="84" t="n">
        <v>1170403</v>
      </c>
      <c r="E994" s="141" t="inlineStr">
        <is>
          <t>FILTRO SEPA-COMBUSTIBLE CUMMINS FS19763</t>
        </is>
      </c>
      <c r="F994" s="67" t="inlineStr">
        <is>
          <t>UN</t>
        </is>
      </c>
      <c r="G994" s="84" t="n">
        <v>1</v>
      </c>
      <c r="H994" s="57" t="inlineStr">
        <is>
          <t>2222518414</t>
        </is>
      </c>
      <c r="I994" s="139" t="n">
        <v>52.93</v>
      </c>
      <c r="J994" s="140" t="n">
        <v>28.817</v>
      </c>
      <c r="K994" s="86" t="inlineStr">
        <is>
          <t>PEN</t>
        </is>
      </c>
    </row>
    <row r="995">
      <c r="A995" s="84" t="n">
        <v>33033172</v>
      </c>
      <c r="B995" s="67" t="inlineStr">
        <is>
          <t>TPSU</t>
        </is>
      </c>
      <c r="C995" s="90" t="inlineStr">
        <is>
          <t>L001</t>
        </is>
      </c>
      <c r="D995" s="84" t="n">
        <v>1170403</v>
      </c>
      <c r="E995" s="141" t="inlineStr">
        <is>
          <t>FILTRO SEPARADOR AGUA RE521540</t>
        </is>
      </c>
      <c r="F995" s="67" t="inlineStr">
        <is>
          <t>UN</t>
        </is>
      </c>
      <c r="G995" s="84" t="n">
        <v>1</v>
      </c>
      <c r="H995" s="57" t="inlineStr">
        <is>
          <t>G1-12957</t>
        </is>
      </c>
      <c r="I995" s="139" t="n">
        <v>216.31</v>
      </c>
      <c r="J995" s="140" t="n">
        <v>110.024347826087</v>
      </c>
      <c r="K995" s="86" t="inlineStr">
        <is>
          <t>PEN</t>
        </is>
      </c>
    </row>
    <row r="996">
      <c r="A996" s="84" t="n">
        <v>33032016</v>
      </c>
      <c r="B996" s="67" t="inlineStr">
        <is>
          <t>TPSU</t>
        </is>
      </c>
      <c r="C996" s="90" t="inlineStr">
        <is>
          <t>L001</t>
        </is>
      </c>
      <c r="D996" s="84" t="n">
        <v>1170404</v>
      </c>
      <c r="E996" s="80" t="inlineStr">
        <is>
          <t>ELEM.FILTRO PETR./SEP.AGUA RACOR 2040SM</t>
        </is>
      </c>
      <c r="F996" s="67" t="inlineStr">
        <is>
          <t>UN</t>
        </is>
      </c>
      <c r="G996" s="84" t="n">
        <v>12</v>
      </c>
      <c r="H996" s="57" t="inlineStr">
        <is>
          <t>G92701</t>
        </is>
      </c>
      <c r="I996" s="139" t="n">
        <v>275.77</v>
      </c>
      <c r="J996" s="140" t="n">
        <v>30.325625</v>
      </c>
      <c r="K996" s="86" t="inlineStr">
        <is>
          <t>PEN</t>
        </is>
      </c>
    </row>
    <row r="997">
      <c r="A997" s="84" t="n">
        <v>33032806</v>
      </c>
      <c r="B997" s="67" t="inlineStr">
        <is>
          <t>TPSU</t>
        </is>
      </c>
      <c r="C997" s="90" t="inlineStr">
        <is>
          <t>L001</t>
        </is>
      </c>
      <c r="D997" s="84" t="n">
        <v>1170501</v>
      </c>
      <c r="E997" s="80" t="inlineStr">
        <is>
          <t>FILTRO ACEITE COMPRESOR HALL 7027020015</t>
        </is>
      </c>
      <c r="F997" s="67" t="inlineStr">
        <is>
          <t>UN</t>
        </is>
      </c>
      <c r="G997" s="84" t="n">
        <v>2</v>
      </c>
      <c r="H997" s="57" t="inlineStr">
        <is>
          <t>G1-52</t>
        </is>
      </c>
      <c r="I997" s="139" t="n">
        <v>3294.74</v>
      </c>
      <c r="J997" s="140" t="n">
        <v>29.86488888888889</v>
      </c>
      <c r="K997" s="86" t="inlineStr">
        <is>
          <t>PEN</t>
        </is>
      </c>
    </row>
    <row r="998">
      <c r="A998" s="84" t="n">
        <v>33036527</v>
      </c>
      <c r="B998" s="67" t="inlineStr">
        <is>
          <t>TPSU</t>
        </is>
      </c>
      <c r="C998" s="90" t="inlineStr">
        <is>
          <t>L001</t>
        </is>
      </c>
      <c r="D998" s="84" t="n">
        <v>1170502</v>
      </c>
      <c r="E998" s="80" t="inlineStr">
        <is>
          <t>RESISTOR DE CORROSION  WF2076</t>
        </is>
      </c>
      <c r="F998" s="67" t="inlineStr">
        <is>
          <t>UN</t>
        </is>
      </c>
      <c r="G998" s="84" t="n">
        <v>2</v>
      </c>
      <c r="H998" s="57" t="inlineStr"/>
      <c r="I998" s="139" t="n">
        <v>118.69</v>
      </c>
      <c r="J998" s="140" t="n">
        <v>29.68225</v>
      </c>
      <c r="K998" s="86" t="inlineStr">
        <is>
          <t>PEN</t>
        </is>
      </c>
    </row>
    <row r="999">
      <c r="A999" s="84" t="n">
        <v>33033167</v>
      </c>
      <c r="B999" s="67" t="inlineStr">
        <is>
          <t>TPSU</t>
        </is>
      </c>
      <c r="C999" s="90" t="inlineStr">
        <is>
          <t>L001</t>
        </is>
      </c>
      <c r="D999" s="84" t="n">
        <v>1170504</v>
      </c>
      <c r="E999" s="80" t="inlineStr">
        <is>
          <t>FILTRO SEDIMENTO 5MICRAS</t>
        </is>
      </c>
      <c r="F999" s="67" t="inlineStr">
        <is>
          <t>UN</t>
        </is>
      </c>
      <c r="G999" s="84" t="n">
        <v>1</v>
      </c>
      <c r="H999" s="57" t="inlineStr">
        <is>
          <t>G122843</t>
        </is>
      </c>
      <c r="I999" s="139" t="n">
        <v>36.12</v>
      </c>
      <c r="J999" s="140" t="n">
        <v>29.96</v>
      </c>
      <c r="K999" s="86" t="inlineStr">
        <is>
          <t>PEN</t>
        </is>
      </c>
    </row>
    <row r="1000">
      <c r="A1000" s="84" t="n">
        <v>33036109</v>
      </c>
      <c r="B1000" s="67" t="inlineStr">
        <is>
          <t>TPSU</t>
        </is>
      </c>
      <c r="C1000" s="90" t="inlineStr">
        <is>
          <t>L001</t>
        </is>
      </c>
      <c r="D1000" s="84" t="n">
        <v>1170504</v>
      </c>
      <c r="E1000" s="80" t="inlineStr">
        <is>
          <t>POST FILTRO DE ULTRAFILTRACION</t>
        </is>
      </c>
      <c r="F1000" s="67" t="inlineStr">
        <is>
          <t>UN</t>
        </is>
      </c>
      <c r="G1000" s="84" t="n">
        <v>2</v>
      </c>
      <c r="H1000" s="57" t="inlineStr">
        <is>
          <t>NUEVO</t>
        </is>
      </c>
      <c r="I1000" s="139" t="n">
        <v>290</v>
      </c>
      <c r="J1000" s="140" t="n">
        <v>28.955</v>
      </c>
      <c r="K1000" s="86" t="inlineStr">
        <is>
          <t>PEN</t>
        </is>
      </c>
    </row>
    <row r="1001">
      <c r="A1001" s="84" t="n">
        <v>33042646</v>
      </c>
      <c r="B1001" s="84" t="inlineStr">
        <is>
          <t>TPSU</t>
        </is>
      </c>
      <c r="C1001" s="91" t="inlineStr">
        <is>
          <t>L001</t>
        </is>
      </c>
      <c r="D1001" s="84" t="n">
        <v>1170505</v>
      </c>
      <c r="E1001" s="141" t="inlineStr">
        <is>
          <t>CYLINDER HEAD  4W-9560</t>
        </is>
      </c>
      <c r="F1001" s="67" t="inlineStr">
        <is>
          <t>UN</t>
        </is>
      </c>
      <c r="G1001" s="84" t="n">
        <v>1</v>
      </c>
      <c r="H1001" s="84" t="inlineStr">
        <is>
          <t>0504</t>
        </is>
      </c>
      <c r="I1001" s="139" t="n">
        <v>0</v>
      </c>
      <c r="J1001" s="140" t="n">
        <v>36.5125</v>
      </c>
      <c r="K1001" s="86" t="inlineStr">
        <is>
          <t>PEN</t>
        </is>
      </c>
    </row>
    <row r="1002">
      <c r="A1002" s="84" t="n">
        <v>33042646</v>
      </c>
      <c r="B1002" s="84" t="inlineStr">
        <is>
          <t>TPSU</t>
        </is>
      </c>
      <c r="C1002" s="91" t="inlineStr">
        <is>
          <t>L004</t>
        </is>
      </c>
      <c r="D1002" s="84" t="n">
        <v>1170505</v>
      </c>
      <c r="E1002" s="80" t="inlineStr">
        <is>
          <t>CYLINDER HEAD  4W-9560</t>
        </is>
      </c>
      <c r="F1002" s="67" t="inlineStr">
        <is>
          <t>UN</t>
        </is>
      </c>
      <c r="G1002" s="84" t="n">
        <v>1</v>
      </c>
      <c r="H1002" s="84" t="inlineStr">
        <is>
          <t>0000000330</t>
        </is>
      </c>
      <c r="I1002" s="139" t="n">
        <v>0</v>
      </c>
      <c r="J1002" s="140" t="n">
        <v>36.32</v>
      </c>
      <c r="K1002" s="86" t="inlineStr">
        <is>
          <t>PEN</t>
        </is>
      </c>
    </row>
    <row r="1003">
      <c r="A1003" s="84" t="n">
        <v>33042646</v>
      </c>
      <c r="B1003" s="84" t="inlineStr">
        <is>
          <t>TPSU</t>
        </is>
      </c>
      <c r="C1003" s="91" t="inlineStr">
        <is>
          <t>L004</t>
        </is>
      </c>
      <c r="D1003" s="84" t="n">
        <v>1170505</v>
      </c>
      <c r="E1003" s="80" t="inlineStr">
        <is>
          <t>CYLINDER HEAD  4W-9560</t>
        </is>
      </c>
      <c r="F1003" s="67" t="inlineStr">
        <is>
          <t>UN</t>
        </is>
      </c>
      <c r="G1003" s="84" t="n">
        <v>1</v>
      </c>
      <c r="H1003" s="84" t="inlineStr">
        <is>
          <t>0000000506</t>
        </is>
      </c>
      <c r="I1003" s="139" t="n">
        <v>0</v>
      </c>
      <c r="J1003" s="140" t="n">
        <v>37.67</v>
      </c>
      <c r="K1003" s="86" t="inlineStr">
        <is>
          <t>PEN</t>
        </is>
      </c>
    </row>
    <row r="1004">
      <c r="A1004" s="84" t="n">
        <v>33032863</v>
      </c>
      <c r="B1004" s="67" t="inlineStr">
        <is>
          <t>TPSU</t>
        </is>
      </c>
      <c r="C1004" s="90" t="inlineStr">
        <is>
          <t>L001</t>
        </is>
      </c>
      <c r="D1004" s="84" t="n">
        <v>1170601</v>
      </c>
      <c r="E1004" s="80" t="inlineStr">
        <is>
          <t>FILTRO ACEITE MOTOR 30A400105</t>
        </is>
      </c>
      <c r="F1004" s="67" t="inlineStr">
        <is>
          <t>UN</t>
        </is>
      </c>
      <c r="G1004" s="84" t="n">
        <v>2</v>
      </c>
      <c r="H1004" s="57" t="inlineStr">
        <is>
          <t>GR05085702</t>
        </is>
      </c>
      <c r="I1004" s="139" t="n">
        <v>57.59</v>
      </c>
      <c r="J1004" s="140" t="n">
        <v>34.455</v>
      </c>
      <c r="K1004" s="86" t="inlineStr">
        <is>
          <t>PEN</t>
        </is>
      </c>
    </row>
    <row r="1005">
      <c r="A1005" s="84" t="n">
        <v>33033113</v>
      </c>
      <c r="B1005" s="67" t="inlineStr">
        <is>
          <t>TPSU</t>
        </is>
      </c>
      <c r="C1005" s="90" t="inlineStr">
        <is>
          <t>L001</t>
        </is>
      </c>
      <c r="D1005" s="84" t="n">
        <v>1170601</v>
      </c>
      <c r="E1005" s="80" t="inlineStr">
        <is>
          <t>FILTRO PETROLEO LISTER 751-18100</t>
        </is>
      </c>
      <c r="F1005" s="67" t="inlineStr">
        <is>
          <t>UN</t>
        </is>
      </c>
      <c r="G1005" s="84" t="n">
        <v>3</v>
      </c>
      <c r="H1005" s="57" t="inlineStr">
        <is>
          <t>082021</t>
        </is>
      </c>
      <c r="I1005" s="139" t="n">
        <v>206.88</v>
      </c>
      <c r="J1005" s="140" t="n">
        <v>62.3</v>
      </c>
      <c r="K1005" s="86" t="inlineStr">
        <is>
          <t>PEN</t>
        </is>
      </c>
    </row>
    <row r="1006">
      <c r="A1006" s="84" t="n">
        <v>33032784</v>
      </c>
      <c r="B1006" s="67" t="inlineStr">
        <is>
          <t>TPSU</t>
        </is>
      </c>
      <c r="C1006" s="90" t="inlineStr">
        <is>
          <t>L001</t>
        </is>
      </c>
      <c r="D1006" s="84" t="n">
        <v>1170602</v>
      </c>
      <c r="E1006" s="80" t="inlineStr">
        <is>
          <t>FILTRO ACEITE (LF3671) P/MOTOR  23530573</t>
        </is>
      </c>
      <c r="F1006" s="67" t="inlineStr">
        <is>
          <t>UN</t>
        </is>
      </c>
      <c r="G1006" s="84" t="n">
        <v>4</v>
      </c>
      <c r="H1006" s="57" t="inlineStr">
        <is>
          <t>GRT01.1428</t>
        </is>
      </c>
      <c r="I1006" s="139" t="n">
        <v>220.79</v>
      </c>
      <c r="J1006" s="140" t="n">
        <v>62.235</v>
      </c>
      <c r="K1006" s="86" t="inlineStr">
        <is>
          <t>PEN</t>
        </is>
      </c>
    </row>
    <row r="1007">
      <c r="A1007" s="84" t="n">
        <v>33038037</v>
      </c>
      <c r="B1007" s="67" t="inlineStr">
        <is>
          <t>TPSU</t>
        </is>
      </c>
      <c r="C1007" s="90" t="inlineStr">
        <is>
          <t>L001</t>
        </is>
      </c>
      <c r="D1007" s="84" t="n">
        <v>1170602</v>
      </c>
      <c r="E1007" s="80" t="inlineStr">
        <is>
          <t>SEAL LIP 7C-7808</t>
        </is>
      </c>
      <c r="F1007" s="67" t="inlineStr">
        <is>
          <t>UN</t>
        </is>
      </c>
      <c r="G1007" s="84" t="n">
        <v>1</v>
      </c>
      <c r="H1007" s="57" t="inlineStr"/>
      <c r="I1007" s="139" t="n">
        <v>75.16</v>
      </c>
      <c r="J1007" s="140" t="n">
        <v>62.3</v>
      </c>
      <c r="K1007" s="86" t="inlineStr">
        <is>
          <t>PEN</t>
        </is>
      </c>
    </row>
    <row r="1008">
      <c r="A1008" s="84" t="n">
        <v>33033165</v>
      </c>
      <c r="B1008" s="67" t="inlineStr">
        <is>
          <t>TPSU</t>
        </is>
      </c>
      <c r="C1008" s="90" t="inlineStr">
        <is>
          <t>L001</t>
        </is>
      </c>
      <c r="D1008" s="84" t="n">
        <v>1170604</v>
      </c>
      <c r="E1008" s="80" t="inlineStr">
        <is>
          <t>FILTRO SEDIMENTO 20MICRAS</t>
        </is>
      </c>
      <c r="F1008" s="67" t="inlineStr">
        <is>
          <t>UN</t>
        </is>
      </c>
      <c r="G1008" s="84" t="n">
        <v>1</v>
      </c>
      <c r="H1008" s="57" t="inlineStr">
        <is>
          <t>G122843</t>
        </is>
      </c>
      <c r="I1008" s="139" t="n">
        <v>36.12</v>
      </c>
      <c r="J1008" s="140" t="n">
        <v>62.3</v>
      </c>
      <c r="K1008" s="86" t="inlineStr">
        <is>
          <t>PEN</t>
        </is>
      </c>
    </row>
    <row r="1009">
      <c r="A1009" s="84" t="n">
        <v>33035069</v>
      </c>
      <c r="B1009" s="67" t="inlineStr">
        <is>
          <t>TPSU</t>
        </is>
      </c>
      <c r="C1009" s="90" t="inlineStr">
        <is>
          <t>L001</t>
        </is>
      </c>
      <c r="D1009" s="84" t="n">
        <v>1170604</v>
      </c>
      <c r="E1009" s="80" t="inlineStr">
        <is>
          <t>MEMBRANA RESIDENCIAL RO 100 GPD</t>
        </is>
      </c>
      <c r="F1009" s="67" t="inlineStr">
        <is>
          <t>UN</t>
        </is>
      </c>
      <c r="G1009" s="84" t="n">
        <v>2</v>
      </c>
      <c r="H1009" s="57" t="inlineStr">
        <is>
          <t>G133908</t>
        </is>
      </c>
      <c r="I1009" s="139" t="n">
        <v>360</v>
      </c>
      <c r="J1009" s="140" t="n">
        <v>60.2</v>
      </c>
      <c r="K1009" s="86" t="inlineStr">
        <is>
          <t>PEN</t>
        </is>
      </c>
    </row>
    <row r="1010">
      <c r="A1010" s="84" t="n">
        <v>33032096</v>
      </c>
      <c r="B1010" s="67" t="inlineStr">
        <is>
          <t>TPSU</t>
        </is>
      </c>
      <c r="C1010" s="90" t="inlineStr">
        <is>
          <t>L001</t>
        </is>
      </c>
      <c r="D1010" s="84" t="n">
        <v>1170702</v>
      </c>
      <c r="E1010" s="80" t="inlineStr">
        <is>
          <t>ELEMENTO FILTRO AIRE 757-27890</t>
        </is>
      </c>
      <c r="F1010" s="67" t="inlineStr">
        <is>
          <t>UN</t>
        </is>
      </c>
      <c r="G1010" s="84" t="n">
        <v>4</v>
      </c>
      <c r="H1010" s="57" t="inlineStr">
        <is>
          <t>022023</t>
        </is>
      </c>
      <c r="I1010" s="139" t="n">
        <v>395.55</v>
      </c>
      <c r="J1010" s="140" t="n">
        <v>43.8</v>
      </c>
      <c r="K1010" s="86" t="inlineStr">
        <is>
          <t>PEN</t>
        </is>
      </c>
    </row>
    <row r="1011">
      <c r="A1011" s="84" t="n">
        <v>33032096</v>
      </c>
      <c r="B1011" s="67" t="inlineStr">
        <is>
          <t>TPSU</t>
        </is>
      </c>
      <c r="C1011" s="90" t="inlineStr">
        <is>
          <t>L001</t>
        </is>
      </c>
      <c r="D1011" s="84" t="n">
        <v>1170702</v>
      </c>
      <c r="E1011" s="80" t="inlineStr">
        <is>
          <t>ELEMENTO FILTRO AIRE 757-27890</t>
        </is>
      </c>
      <c r="F1011" s="67" t="inlineStr">
        <is>
          <t>UN</t>
        </is>
      </c>
      <c r="G1011" s="84" t="n">
        <v>2</v>
      </c>
      <c r="H1011" s="57" t="inlineStr">
        <is>
          <t>062022</t>
        </is>
      </c>
      <c r="I1011" s="139" t="n">
        <v>197.77</v>
      </c>
      <c r="J1011" s="140" t="n">
        <v>43.8</v>
      </c>
      <c r="K1011" s="86" t="inlineStr">
        <is>
          <t>PEN</t>
        </is>
      </c>
    </row>
    <row r="1012">
      <c r="A1012" s="84" t="n">
        <v>33040390</v>
      </c>
      <c r="B1012" s="67" t="inlineStr">
        <is>
          <t>TPSU</t>
        </is>
      </c>
      <c r="C1012" s="90" t="inlineStr">
        <is>
          <t>L001</t>
        </is>
      </c>
      <c r="D1012" s="84" t="n">
        <v>1170703</v>
      </c>
      <c r="E1012" s="80" t="inlineStr">
        <is>
          <t>FILTRO SEPARADOR FGFS19841</t>
        </is>
      </c>
      <c r="F1012" s="67" t="inlineStr">
        <is>
          <t>UN</t>
        </is>
      </c>
      <c r="G1012" s="84" t="n">
        <v>4</v>
      </c>
      <c r="H1012" s="57" t="inlineStr">
        <is>
          <t>T884256</t>
        </is>
      </c>
      <c r="I1012" s="139" t="n">
        <v>498.46</v>
      </c>
      <c r="J1012" s="140" t="n">
        <v>43.8</v>
      </c>
      <c r="K1012" s="86" t="inlineStr">
        <is>
          <t>PEN</t>
        </is>
      </c>
    </row>
    <row r="1013">
      <c r="A1013" s="84" t="n">
        <v>33032958</v>
      </c>
      <c r="B1013" s="67" t="inlineStr">
        <is>
          <t>TPSU</t>
        </is>
      </c>
      <c r="C1013" s="90" t="inlineStr">
        <is>
          <t>L001</t>
        </is>
      </c>
      <c r="D1013" s="84" t="n">
        <v>1170704</v>
      </c>
      <c r="E1013" s="80" t="inlineStr">
        <is>
          <t>FILTRO CARBON ACTIVADO</t>
        </is>
      </c>
      <c r="F1013" s="67" t="inlineStr">
        <is>
          <t>UN</t>
        </is>
      </c>
      <c r="G1013" s="84" t="n">
        <v>1</v>
      </c>
      <c r="H1013" s="57" t="inlineStr">
        <is>
          <t>G122843</t>
        </is>
      </c>
      <c r="I1013" s="139" t="n">
        <v>69.08</v>
      </c>
      <c r="J1013" s="140" t="n">
        <v>43.71</v>
      </c>
      <c r="K1013" s="86" t="inlineStr">
        <is>
          <t>PEN</t>
        </is>
      </c>
    </row>
    <row r="1014">
      <c r="A1014" s="84" t="n">
        <v>33032051</v>
      </c>
      <c r="B1014" s="67" t="inlineStr">
        <is>
          <t>TPSU</t>
        </is>
      </c>
      <c r="C1014" s="90" t="inlineStr">
        <is>
          <t>L001</t>
        </is>
      </c>
      <c r="D1014" s="84" t="n">
        <v>1170801</v>
      </c>
      <c r="E1014" s="80" t="inlineStr">
        <is>
          <t>ELEMENTO FILTRO AIRE ON1403752</t>
        </is>
      </c>
      <c r="F1014" s="67" t="inlineStr">
        <is>
          <t>UN</t>
        </is>
      </c>
      <c r="G1014" s="84" t="n">
        <v>1</v>
      </c>
      <c r="H1014" s="57" t="inlineStr">
        <is>
          <t>G8828893</t>
        </is>
      </c>
      <c r="I1014" s="139" t="n">
        <v>832.89</v>
      </c>
      <c r="J1014" s="140" t="n">
        <v>40.70333333333333</v>
      </c>
      <c r="K1014" s="86" t="inlineStr">
        <is>
          <t>PEN</t>
        </is>
      </c>
    </row>
    <row r="1015">
      <c r="A1015" s="84" t="n">
        <v>33032051</v>
      </c>
      <c r="B1015" s="67" t="inlineStr">
        <is>
          <t>TPSU</t>
        </is>
      </c>
      <c r="C1015" s="90" t="inlineStr">
        <is>
          <t>L001</t>
        </is>
      </c>
      <c r="D1015" s="84" t="n">
        <v>1170801</v>
      </c>
      <c r="E1015" s="80" t="inlineStr">
        <is>
          <t>ELEMENTO FILTRO AIRE ON1403752</t>
        </is>
      </c>
      <c r="F1015" s="67" t="inlineStr">
        <is>
          <t>UN</t>
        </is>
      </c>
      <c r="G1015" s="84" t="n">
        <v>1</v>
      </c>
      <c r="H1015" s="57" t="inlineStr">
        <is>
          <t>T263-84590</t>
        </is>
      </c>
      <c r="I1015" s="139" t="n">
        <v>832.89</v>
      </c>
      <c r="J1015" s="140" t="n">
        <v>42.2</v>
      </c>
      <c r="K1015" s="86" t="inlineStr">
        <is>
          <t>PEN</t>
        </is>
      </c>
    </row>
    <row r="1016">
      <c r="A1016" s="84" t="n">
        <v>33035629</v>
      </c>
      <c r="B1016" s="67" t="inlineStr">
        <is>
          <t>TPSU</t>
        </is>
      </c>
      <c r="C1016" s="90" t="inlineStr">
        <is>
          <t>L001</t>
        </is>
      </c>
      <c r="D1016" s="84" t="n">
        <v>1170802</v>
      </c>
      <c r="E1016" s="80" t="inlineStr">
        <is>
          <t>PAPEL FILTRO 8591840001</t>
        </is>
      </c>
      <c r="F1016" s="67" t="inlineStr">
        <is>
          <t>UN</t>
        </is>
      </c>
      <c r="G1016" s="84" t="n">
        <v>4</v>
      </c>
      <c r="H1016" s="57" t="inlineStr"/>
      <c r="I1016" s="139" t="n">
        <v>2840.62</v>
      </c>
      <c r="J1016" s="140" t="n">
        <v>42.2</v>
      </c>
      <c r="K1016" s="86" t="inlineStr">
        <is>
          <t>PEN</t>
        </is>
      </c>
    </row>
    <row r="1017">
      <c r="A1017" s="84" t="n">
        <v>33032785</v>
      </c>
      <c r="B1017" s="67" t="inlineStr">
        <is>
          <t>TPSU</t>
        </is>
      </c>
      <c r="C1017" s="90" t="inlineStr">
        <is>
          <t>L001</t>
        </is>
      </c>
      <c r="D1017" s="84" t="n">
        <v>1170803</v>
      </c>
      <c r="E1017" s="80" t="inlineStr">
        <is>
          <t>FILTRO ACEITE 0031845301</t>
        </is>
      </c>
      <c r="F1017" s="67" t="inlineStr">
        <is>
          <t>UN</t>
        </is>
      </c>
      <c r="G1017" s="84" t="n">
        <v>3</v>
      </c>
      <c r="H1017" s="57" t="inlineStr">
        <is>
          <t>G13069</t>
        </is>
      </c>
      <c r="I1017" s="139" t="n">
        <v>479.85</v>
      </c>
      <c r="J1017" s="140" t="n">
        <v>42.2</v>
      </c>
      <c r="K1017" s="86" t="inlineStr">
        <is>
          <t>PEN</t>
        </is>
      </c>
    </row>
    <row r="1018">
      <c r="A1018" s="84" t="n">
        <v>33032785</v>
      </c>
      <c r="B1018" s="67" t="inlineStr">
        <is>
          <t>TPSU</t>
        </is>
      </c>
      <c r="C1018" s="90" t="inlineStr">
        <is>
          <t>L001</t>
        </is>
      </c>
      <c r="D1018" s="84" t="n">
        <v>1170803</v>
      </c>
      <c r="E1018" s="80" t="inlineStr">
        <is>
          <t>FILTRO ACEITE 0031845301</t>
        </is>
      </c>
      <c r="F1018" s="67" t="inlineStr">
        <is>
          <t>UN</t>
        </is>
      </c>
      <c r="G1018" s="84" t="n">
        <v>4</v>
      </c>
      <c r="H1018" s="57" t="inlineStr">
        <is>
          <t>GT0014387</t>
        </is>
      </c>
      <c r="I1018" s="139" t="n">
        <v>639.79</v>
      </c>
      <c r="J1018" s="140" t="n">
        <v>35.85</v>
      </c>
      <c r="K1018" s="86" t="inlineStr">
        <is>
          <t>PEN</t>
        </is>
      </c>
    </row>
    <row r="1019">
      <c r="A1019" s="84" t="n">
        <v>32006318</v>
      </c>
      <c r="B1019" s="67" t="inlineStr">
        <is>
          <t>TPSU</t>
        </is>
      </c>
      <c r="C1019" s="90" t="inlineStr">
        <is>
          <t>L001</t>
        </is>
      </c>
      <c r="D1019" s="84" t="n">
        <v>1180301</v>
      </c>
      <c r="E1019" s="80" t="inlineStr">
        <is>
          <t>CAJA PLASTICA MULTIUSOS CN TAPA 38.4L</t>
        </is>
      </c>
      <c r="F1019" s="67" t="inlineStr">
        <is>
          <t>UN</t>
        </is>
      </c>
      <c r="G1019" s="84" t="n">
        <v>5</v>
      </c>
      <c r="H1019" s="57" t="inlineStr"/>
      <c r="I1019" s="139" t="n">
        <v>104.5</v>
      </c>
      <c r="J1019" s="140" t="n">
        <v>350</v>
      </c>
      <c r="K1019" s="86" t="inlineStr">
        <is>
          <t>PEN</t>
        </is>
      </c>
    </row>
    <row r="1020">
      <c r="A1020" s="84" t="n">
        <v>32007115</v>
      </c>
      <c r="B1020" s="67" t="inlineStr">
        <is>
          <t>TPSU</t>
        </is>
      </c>
      <c r="C1020" s="90" t="inlineStr">
        <is>
          <t>L001</t>
        </is>
      </c>
      <c r="D1020" s="84" t="n">
        <v>1180301</v>
      </c>
      <c r="E1020" s="80" t="inlineStr">
        <is>
          <t>PACK CUMPLEAÑERO</t>
        </is>
      </c>
      <c r="F1020" s="67" t="inlineStr">
        <is>
          <t>UN</t>
        </is>
      </c>
      <c r="G1020" s="84" t="n">
        <v>65</v>
      </c>
      <c r="H1020" s="57" t="inlineStr">
        <is>
          <t>ABRIL2023</t>
        </is>
      </c>
      <c r="I1020" s="139" t="n">
        <v>2528.5</v>
      </c>
      <c r="J1020" s="140" t="n">
        <v>16.7</v>
      </c>
      <c r="K1020" s="86" t="inlineStr">
        <is>
          <t>PEN</t>
        </is>
      </c>
    </row>
    <row r="1021">
      <c r="A1021" s="84" t="n">
        <v>32007115</v>
      </c>
      <c r="B1021" s="67" t="inlineStr">
        <is>
          <t>TPSU</t>
        </is>
      </c>
      <c r="C1021" s="90" t="inlineStr">
        <is>
          <t>L001</t>
        </is>
      </c>
      <c r="D1021" s="84" t="n">
        <v>1180301</v>
      </c>
      <c r="E1021" s="80" t="inlineStr">
        <is>
          <t>PACK CUMPLEAÑERO</t>
        </is>
      </c>
      <c r="F1021" s="67" t="inlineStr">
        <is>
          <t>UN</t>
        </is>
      </c>
      <c r="G1021" s="84" t="n">
        <v>14</v>
      </c>
      <c r="H1021" s="57" t="inlineStr">
        <is>
          <t>NUEVO</t>
        </is>
      </c>
      <c r="I1021" s="139" t="n">
        <v>544.6</v>
      </c>
      <c r="J1021" s="140" t="n">
        <v>16.7</v>
      </c>
      <c r="K1021" s="86" t="inlineStr">
        <is>
          <t>PEN</t>
        </is>
      </c>
    </row>
    <row r="1022">
      <c r="A1022" s="84" t="n">
        <v>32005177</v>
      </c>
      <c r="B1022" s="67" t="inlineStr">
        <is>
          <t>TPSU</t>
        </is>
      </c>
      <c r="C1022" s="90" t="inlineStr">
        <is>
          <t>L001</t>
        </is>
      </c>
      <c r="D1022" s="84" t="n">
        <v>1180301</v>
      </c>
      <c r="E1022" s="80" t="inlineStr">
        <is>
          <t>TACHO BASURA CIRCULAR 50 LT</t>
        </is>
      </c>
      <c r="F1022" s="67" t="inlineStr">
        <is>
          <t>UN</t>
        </is>
      </c>
      <c r="G1022" s="84" t="n">
        <v>1</v>
      </c>
      <c r="H1022" s="57" t="inlineStr"/>
      <c r="I1022" s="139" t="n">
        <v>63.46</v>
      </c>
      <c r="J1022" s="140" t="n">
        <v>16.7</v>
      </c>
      <c r="K1022" s="86" t="inlineStr">
        <is>
          <t>PEN</t>
        </is>
      </c>
    </row>
    <row r="1023">
      <c r="A1023" s="84" t="n">
        <v>32005185</v>
      </c>
      <c r="B1023" s="67" t="inlineStr">
        <is>
          <t>TPSU</t>
        </is>
      </c>
      <c r="C1023" s="90" t="inlineStr">
        <is>
          <t>L001</t>
        </is>
      </c>
      <c r="D1023" s="84" t="n">
        <v>1180301</v>
      </c>
      <c r="E1023" s="80" t="inlineStr">
        <is>
          <t>TACHO PLASTICO 10LT C/TAPA</t>
        </is>
      </c>
      <c r="F1023" s="67" t="inlineStr">
        <is>
          <t>UN</t>
        </is>
      </c>
      <c r="G1023" s="84" t="n">
        <v>2</v>
      </c>
      <c r="H1023" s="57" t="inlineStr"/>
      <c r="I1023" s="139" t="n">
        <v>33.02</v>
      </c>
      <c r="J1023" s="140" t="n">
        <v>16.7</v>
      </c>
      <c r="K1023" s="86" t="inlineStr">
        <is>
          <t>PEN</t>
        </is>
      </c>
    </row>
    <row r="1024">
      <c r="A1024" s="84" t="n">
        <v>32008228</v>
      </c>
      <c r="B1024" s="67" t="inlineStr">
        <is>
          <t>TPSU</t>
        </is>
      </c>
      <c r="C1024" s="90" t="inlineStr">
        <is>
          <t>L001</t>
        </is>
      </c>
      <c r="D1024" s="84" t="n">
        <v>1180401</v>
      </c>
      <c r="E1024" s="80" t="inlineStr">
        <is>
          <t>KIT - MEJORATE PRONTO</t>
        </is>
      </c>
      <c r="F1024" s="67" t="inlineStr">
        <is>
          <t>UN</t>
        </is>
      </c>
      <c r="G1024" s="84" t="n">
        <v>7</v>
      </c>
      <c r="H1024" s="57" t="inlineStr"/>
      <c r="I1024" s="139" t="n">
        <v>258.72</v>
      </c>
      <c r="J1024" s="140" t="n">
        <v>16.7</v>
      </c>
      <c r="K1024" s="86" t="inlineStr">
        <is>
          <t>PEN</t>
        </is>
      </c>
    </row>
    <row r="1025">
      <c r="A1025" s="84" t="n">
        <v>32007117</v>
      </c>
      <c r="B1025" s="67" t="inlineStr">
        <is>
          <t>TPSU</t>
        </is>
      </c>
      <c r="C1025" s="90" t="inlineStr">
        <is>
          <t>L001</t>
        </is>
      </c>
      <c r="D1025" s="84" t="n">
        <v>1180401</v>
      </c>
      <c r="E1025" s="80" t="inlineStr">
        <is>
          <t>PACK RECIEN NACIDO</t>
        </is>
      </c>
      <c r="F1025" s="67" t="inlineStr">
        <is>
          <t>UN</t>
        </is>
      </c>
      <c r="G1025" s="84" t="n">
        <v>2</v>
      </c>
      <c r="H1025" s="57" t="inlineStr"/>
      <c r="I1025" s="139" t="n">
        <v>192.58</v>
      </c>
      <c r="J1025" s="140" t="n">
        <v>112.16</v>
      </c>
      <c r="K1025" s="86" t="inlineStr">
        <is>
          <t>PEN</t>
        </is>
      </c>
    </row>
    <row r="1026">
      <c r="A1026" s="84" t="n">
        <v>32003967</v>
      </c>
      <c r="B1026" s="67" t="inlineStr">
        <is>
          <t>TPSU</t>
        </is>
      </c>
      <c r="C1026" s="90" t="inlineStr">
        <is>
          <t>L001</t>
        </is>
      </c>
      <c r="D1026" s="84" t="n">
        <v>1190101</v>
      </c>
      <c r="E1026" s="80" t="inlineStr">
        <is>
          <t>CHOMPA DRALON AZUL CUELLO ALTO "S"</t>
        </is>
      </c>
      <c r="F1026" s="67" t="inlineStr">
        <is>
          <t>UN</t>
        </is>
      </c>
      <c r="G1026" s="84" t="n">
        <v>10</v>
      </c>
      <c r="H1026" s="57" t="inlineStr"/>
      <c r="I1026" s="139" t="n">
        <v>288.17</v>
      </c>
      <c r="J1026" s="140" t="n">
        <v>112.7257142857143</v>
      </c>
      <c r="K1026" s="86" t="inlineStr">
        <is>
          <t>PEN</t>
        </is>
      </c>
    </row>
    <row r="1027">
      <c r="A1027" s="84" t="n">
        <v>33051103</v>
      </c>
      <c r="B1027" s="67" t="inlineStr">
        <is>
          <t>TPSU</t>
        </is>
      </c>
      <c r="C1027" s="90" t="inlineStr">
        <is>
          <t>L001</t>
        </is>
      </c>
      <c r="D1027" s="84" t="n">
        <v>1190101</v>
      </c>
      <c r="E1027" s="80" t="inlineStr">
        <is>
          <t>PANEL LED RC048B LED40S/865</t>
        </is>
      </c>
      <c r="F1027" s="67" t="inlineStr">
        <is>
          <t>UN</t>
        </is>
      </c>
      <c r="G1027" s="84" t="n">
        <v>23</v>
      </c>
      <c r="H1027" s="57" t="inlineStr"/>
      <c r="I1027" s="139" t="n">
        <v>2530.56</v>
      </c>
      <c r="J1027" s="140" t="n">
        <v>112.6125806451613</v>
      </c>
      <c r="K1027" s="86" t="inlineStr">
        <is>
          <t>PEN</t>
        </is>
      </c>
    </row>
    <row r="1028">
      <c r="A1028" s="84" t="n">
        <v>32003966</v>
      </c>
      <c r="B1028" s="67" t="inlineStr">
        <is>
          <t>TPSU</t>
        </is>
      </c>
      <c r="C1028" s="90" t="inlineStr">
        <is>
          <t>L001</t>
        </is>
      </c>
      <c r="D1028" s="84" t="n">
        <v>1190102</v>
      </c>
      <c r="E1028" s="80" t="inlineStr">
        <is>
          <t>CHOMPA DRALON AZUL CUELLO ALTO "M"</t>
        </is>
      </c>
      <c r="F1028" s="67" t="inlineStr">
        <is>
          <t>UN</t>
        </is>
      </c>
      <c r="G1028" s="84" t="n">
        <v>32</v>
      </c>
      <c r="H1028" s="57" t="inlineStr"/>
      <c r="I1028" s="139" t="n">
        <v>970.42</v>
      </c>
      <c r="J1028" s="140" t="n">
        <v>112</v>
      </c>
      <c r="K1028" s="86" t="inlineStr">
        <is>
          <t>PEN</t>
        </is>
      </c>
    </row>
    <row r="1029">
      <c r="A1029" s="84" t="n">
        <v>32003965</v>
      </c>
      <c r="B1029" s="67" t="inlineStr">
        <is>
          <t>TPSU</t>
        </is>
      </c>
      <c r="C1029" s="90" t="inlineStr">
        <is>
          <t>L001</t>
        </is>
      </c>
      <c r="D1029" s="84" t="n">
        <v>1190104</v>
      </c>
      <c r="E1029" s="80" t="inlineStr">
        <is>
          <t>CHOMPA DRALON AZUL CUELLO ALTO "L"</t>
        </is>
      </c>
      <c r="F1029" s="67" t="inlineStr">
        <is>
          <t>UN</t>
        </is>
      </c>
      <c r="G1029" s="84" t="n">
        <v>45</v>
      </c>
      <c r="H1029" s="57" t="inlineStr"/>
      <c r="I1029" s="139" t="n">
        <v>1343.92</v>
      </c>
      <c r="J1029" s="140" t="n">
        <v>110.9984615384615</v>
      </c>
      <c r="K1029" s="86" t="inlineStr">
        <is>
          <t>PEN</t>
        </is>
      </c>
    </row>
    <row r="1030">
      <c r="A1030" s="84" t="n">
        <v>32003968</v>
      </c>
      <c r="B1030" s="67" t="inlineStr">
        <is>
          <t>TPSU</t>
        </is>
      </c>
      <c r="C1030" s="90" t="inlineStr">
        <is>
          <t>L001</t>
        </is>
      </c>
      <c r="D1030" s="84" t="n">
        <v>1190201</v>
      </c>
      <c r="E1030" s="80" t="inlineStr">
        <is>
          <t>CHOMPA DRALON AZUL CUELLO ALTO "XL"</t>
        </is>
      </c>
      <c r="F1030" s="67" t="inlineStr">
        <is>
          <t>UN</t>
        </is>
      </c>
      <c r="G1030" s="84" t="n">
        <v>40</v>
      </c>
      <c r="H1030" s="57" t="inlineStr"/>
      <c r="I1030" s="139" t="n">
        <v>1187.29</v>
      </c>
      <c r="J1030" s="140" t="n">
        <v>113.3928187919463</v>
      </c>
      <c r="K1030" s="86" t="inlineStr">
        <is>
          <t>PEN</t>
        </is>
      </c>
    </row>
    <row r="1031">
      <c r="A1031" s="84" t="n">
        <v>32003969</v>
      </c>
      <c r="B1031" s="67" t="inlineStr">
        <is>
          <t>TPSU</t>
        </is>
      </c>
      <c r="C1031" s="90" t="inlineStr">
        <is>
          <t>L001</t>
        </is>
      </c>
      <c r="D1031" s="84" t="n">
        <v>1190202</v>
      </c>
      <c r="E1031" s="80" t="inlineStr">
        <is>
          <t>CHOMPA DRALON AZUL CUELLO ALTO "XXL"</t>
        </is>
      </c>
      <c r="F1031" s="67" t="inlineStr">
        <is>
          <t>UN</t>
        </is>
      </c>
      <c r="G1031" s="84" t="n">
        <v>10</v>
      </c>
      <c r="H1031" s="57" t="inlineStr"/>
      <c r="I1031" s="139" t="n">
        <v>299.6</v>
      </c>
      <c r="J1031" s="140" t="n">
        <v>648.21</v>
      </c>
      <c r="K1031" s="86" t="inlineStr">
        <is>
          <t>PEN</t>
        </is>
      </c>
    </row>
    <row r="1032">
      <c r="A1032" s="84" t="n">
        <v>32004784</v>
      </c>
      <c r="B1032" s="67" t="inlineStr">
        <is>
          <t>TPSU</t>
        </is>
      </c>
      <c r="C1032" s="90" t="inlineStr">
        <is>
          <t>L001</t>
        </is>
      </c>
      <c r="D1032" s="84" t="n">
        <v>1190203</v>
      </c>
      <c r="E1032" s="80" t="inlineStr">
        <is>
          <t>PANTALON DENIN AZUL P/DAMA "28"</t>
        </is>
      </c>
      <c r="F1032" s="67" t="inlineStr">
        <is>
          <t>UN</t>
        </is>
      </c>
      <c r="G1032" s="84" t="n">
        <v>2</v>
      </c>
      <c r="H1032" s="57" t="inlineStr"/>
      <c r="I1032" s="139" t="n">
        <v>57.91</v>
      </c>
      <c r="J1032" s="140" t="n">
        <v>69.97750000000001</v>
      </c>
      <c r="K1032" s="86" t="inlineStr">
        <is>
          <t>PEN</t>
        </is>
      </c>
    </row>
    <row r="1033">
      <c r="A1033" s="84" t="n">
        <v>32004785</v>
      </c>
      <c r="B1033" s="67" t="inlineStr">
        <is>
          <t>TPSU</t>
        </is>
      </c>
      <c r="C1033" s="90" t="inlineStr">
        <is>
          <t>L001</t>
        </is>
      </c>
      <c r="D1033" s="84" t="n">
        <v>1190204</v>
      </c>
      <c r="E1033" s="80" t="inlineStr">
        <is>
          <t>PANTALON DENIN AZUL P/DAMA "30"</t>
        </is>
      </c>
      <c r="F1033" s="67" t="inlineStr">
        <is>
          <t>UN</t>
        </is>
      </c>
      <c r="G1033" s="84" t="n">
        <v>4</v>
      </c>
      <c r="H1033" s="57" t="inlineStr"/>
      <c r="I1033" s="139" t="n">
        <v>146.05</v>
      </c>
      <c r="J1033" s="140" t="n">
        <v>40.63</v>
      </c>
      <c r="K1033" s="86" t="inlineStr">
        <is>
          <t>PEN</t>
        </is>
      </c>
    </row>
    <row r="1034">
      <c r="A1034" s="84" t="n">
        <v>32004786</v>
      </c>
      <c r="B1034" s="67" t="inlineStr">
        <is>
          <t>TPSU</t>
        </is>
      </c>
      <c r="C1034" s="90" t="inlineStr">
        <is>
          <t>L001</t>
        </is>
      </c>
      <c r="D1034" s="84" t="n">
        <v>1190204</v>
      </c>
      <c r="E1034" s="80" t="inlineStr">
        <is>
          <t>PANTALON DENIN AZUL P/DAMA "32"</t>
        </is>
      </c>
      <c r="F1034" s="67" t="inlineStr">
        <is>
          <t>UN</t>
        </is>
      </c>
      <c r="G1034" s="84" t="n">
        <v>1</v>
      </c>
      <c r="H1034" s="57" t="inlineStr"/>
      <c r="I1034" s="139" t="n">
        <v>36.32</v>
      </c>
      <c r="J1034" s="140" t="n">
        <v>40.63111111111111</v>
      </c>
      <c r="K1034" s="86" t="inlineStr">
        <is>
          <t>PEN</t>
        </is>
      </c>
    </row>
    <row r="1035">
      <c r="A1035" s="84" t="n">
        <v>32004804</v>
      </c>
      <c r="B1035" s="67" t="inlineStr">
        <is>
          <t>TPSU</t>
        </is>
      </c>
      <c r="C1035" s="90" t="inlineStr">
        <is>
          <t>L001</t>
        </is>
      </c>
      <c r="D1035" s="84" t="n">
        <v>1190205</v>
      </c>
      <c r="E1035" s="80" t="inlineStr">
        <is>
          <t>PANTALON DRILL CAQUI C/LOGO "34"</t>
        </is>
      </c>
      <c r="F1035" s="67" t="inlineStr">
        <is>
          <t>UN</t>
        </is>
      </c>
      <c r="G1035" s="84" t="n">
        <v>1</v>
      </c>
      <c r="H1035" s="57" t="inlineStr"/>
      <c r="I1035" s="139" t="n">
        <v>37.67</v>
      </c>
      <c r="J1035" s="140" t="n">
        <v>140.55</v>
      </c>
      <c r="K1035" s="86" t="inlineStr">
        <is>
          <t>PEN</t>
        </is>
      </c>
    </row>
    <row r="1036">
      <c r="A1036" s="84" t="n">
        <v>32004805</v>
      </c>
      <c r="B1036" s="67" t="inlineStr">
        <is>
          <t>TPSU</t>
        </is>
      </c>
      <c r="C1036" s="90" t="inlineStr">
        <is>
          <t>L001</t>
        </is>
      </c>
      <c r="D1036" s="84" t="n">
        <v>1190205</v>
      </c>
      <c r="E1036" s="80" t="inlineStr">
        <is>
          <t>PANTALON DRILL CAQUI C/LOGO "36"</t>
        </is>
      </c>
      <c r="F1036" s="67" t="inlineStr">
        <is>
          <t>UN</t>
        </is>
      </c>
      <c r="G1036" s="84" t="n">
        <v>2</v>
      </c>
      <c r="H1036" s="57" t="inlineStr"/>
      <c r="I1036" s="139" t="n">
        <v>68.91</v>
      </c>
      <c r="J1036" s="140" t="n">
        <v>76.255</v>
      </c>
      <c r="K1036" s="86" t="inlineStr">
        <is>
          <t>PEN</t>
        </is>
      </c>
    </row>
    <row r="1037">
      <c r="A1037" s="84" t="n">
        <v>32003903</v>
      </c>
      <c r="B1037" s="67" t="inlineStr">
        <is>
          <t>TPSU</t>
        </is>
      </c>
      <c r="C1037" s="90" t="inlineStr">
        <is>
          <t>L001</t>
        </is>
      </c>
      <c r="D1037" s="84" t="n">
        <v>1190301</v>
      </c>
      <c r="E1037" s="80" t="inlineStr">
        <is>
          <t>CASACA TASLAN VERDE FO.POLAR VARON "M</t>
        </is>
      </c>
      <c r="F1037" s="67" t="inlineStr">
        <is>
          <t>UN</t>
        </is>
      </c>
      <c r="G1037" s="84" t="n">
        <v>7</v>
      </c>
      <c r="H1037" s="57" t="inlineStr"/>
      <c r="I1037" s="139" t="n">
        <v>436.1</v>
      </c>
      <c r="J1037" s="140" t="n">
        <v>48.83888888888889</v>
      </c>
      <c r="K1037" s="86" t="inlineStr">
        <is>
          <t>PEN</t>
        </is>
      </c>
    </row>
    <row r="1038">
      <c r="A1038" s="84" t="n">
        <v>32003904</v>
      </c>
      <c r="B1038" s="67" t="inlineStr">
        <is>
          <t>TPSU</t>
        </is>
      </c>
      <c r="C1038" s="90" t="inlineStr">
        <is>
          <t>L001</t>
        </is>
      </c>
      <c r="D1038" s="84" t="n">
        <v>1190301</v>
      </c>
      <c r="E1038" s="80" t="inlineStr">
        <is>
          <t>CASACA TASLAN VERDE FO.POLAR VARON "S</t>
        </is>
      </c>
      <c r="F1038" s="67" t="inlineStr">
        <is>
          <t>UN</t>
        </is>
      </c>
      <c r="G1038" s="84" t="n">
        <v>2</v>
      </c>
      <c r="H1038" s="57" t="inlineStr"/>
      <c r="I1038" s="139" t="n">
        <v>124.47</v>
      </c>
      <c r="J1038" s="140" t="n">
        <v>144.675</v>
      </c>
      <c r="K1038" s="86" t="inlineStr">
        <is>
          <t>PEN</t>
        </is>
      </c>
    </row>
    <row r="1039">
      <c r="A1039" s="84" t="n">
        <v>32003902</v>
      </c>
      <c r="B1039" s="67" t="inlineStr">
        <is>
          <t>TPSU</t>
        </is>
      </c>
      <c r="C1039" s="90" t="inlineStr">
        <is>
          <t>L001</t>
        </is>
      </c>
      <c r="D1039" s="84" t="n">
        <v>1190302</v>
      </c>
      <c r="E1039" s="80" t="inlineStr">
        <is>
          <t>CASACA TASLAN VERDE FO.POLAR VARON "L</t>
        </is>
      </c>
      <c r="F1039" s="67" t="inlineStr">
        <is>
          <t>UN</t>
        </is>
      </c>
      <c r="G1039" s="84" t="n">
        <v>15</v>
      </c>
      <c r="H1039" s="57" t="inlineStr"/>
      <c r="I1039" s="139" t="n">
        <v>934.5</v>
      </c>
      <c r="J1039" s="140" t="n">
        <v>143.8457142857143</v>
      </c>
      <c r="K1039" s="86" t="inlineStr">
        <is>
          <t>PEN</t>
        </is>
      </c>
    </row>
    <row r="1040">
      <c r="A1040" s="84" t="n">
        <v>32003905</v>
      </c>
      <c r="B1040" s="67" t="inlineStr">
        <is>
          <t>TPSU</t>
        </is>
      </c>
      <c r="C1040" s="90" t="inlineStr">
        <is>
          <t>L001</t>
        </is>
      </c>
      <c r="D1040" s="84" t="n">
        <v>1190303</v>
      </c>
      <c r="E1040" s="80" t="inlineStr">
        <is>
          <t>CASACA TASLAN VERDE FO.POLAR VARON "XL</t>
        </is>
      </c>
      <c r="F1040" s="67" t="inlineStr">
        <is>
          <t>UN</t>
        </is>
      </c>
      <c r="G1040" s="84" t="n">
        <v>5</v>
      </c>
      <c r="H1040" s="57" t="inlineStr"/>
      <c r="I1040" s="139" t="n">
        <v>311.5</v>
      </c>
      <c r="J1040" s="140" t="n">
        <v>143.5441666666667</v>
      </c>
      <c r="K1040" s="86" t="inlineStr">
        <is>
          <t>PEN</t>
        </is>
      </c>
    </row>
    <row r="1041">
      <c r="A1041" s="84" t="n">
        <v>32003906</v>
      </c>
      <c r="B1041" s="67" t="inlineStr">
        <is>
          <t>TPSU</t>
        </is>
      </c>
      <c r="C1041" s="90" t="inlineStr">
        <is>
          <t>L001</t>
        </is>
      </c>
      <c r="D1041" s="84" t="n">
        <v>1190303</v>
      </c>
      <c r="E1041" s="80" t="inlineStr">
        <is>
          <t>CASACA TASLAN VERDE FO.POLAR VARON "XXL</t>
        </is>
      </c>
      <c r="F1041" s="67" t="inlineStr">
        <is>
          <t>UN</t>
        </is>
      </c>
      <c r="G1041" s="84" t="n">
        <v>6</v>
      </c>
      <c r="H1041" s="57" t="inlineStr"/>
      <c r="I1041" s="139" t="n">
        <v>361.2</v>
      </c>
      <c r="J1041" s="140" t="n">
        <v>46.85</v>
      </c>
      <c r="K1041" s="86" t="inlineStr">
        <is>
          <t>PEN</t>
        </is>
      </c>
    </row>
    <row r="1042">
      <c r="A1042" s="84" t="n">
        <v>32003812</v>
      </c>
      <c r="B1042" s="67" t="inlineStr">
        <is>
          <t>TPSU</t>
        </is>
      </c>
      <c r="C1042" s="90" t="inlineStr">
        <is>
          <t>L001</t>
        </is>
      </c>
      <c r="D1042" s="84" t="n">
        <v>1190401</v>
      </c>
      <c r="E1042" s="80" t="inlineStr">
        <is>
          <t>CAMISA OXFORD CELESTE M/LARGA T "M"</t>
        </is>
      </c>
      <c r="F1042" s="67" t="inlineStr">
        <is>
          <t>UN</t>
        </is>
      </c>
      <c r="G1042" s="84" t="n">
        <v>22</v>
      </c>
      <c r="H1042" s="57" t="inlineStr"/>
      <c r="I1042" s="139" t="n">
        <v>963.6</v>
      </c>
      <c r="J1042" s="140" t="n">
        <v>46.84875</v>
      </c>
      <c r="K1042" s="86" t="inlineStr">
        <is>
          <t>PEN</t>
        </is>
      </c>
    </row>
    <row r="1043">
      <c r="A1043" s="84" t="n">
        <v>32003813</v>
      </c>
      <c r="B1043" s="67" t="inlineStr">
        <is>
          <t>TPSU</t>
        </is>
      </c>
      <c r="C1043" s="90" t="inlineStr">
        <is>
          <t>L001</t>
        </is>
      </c>
      <c r="D1043" s="84" t="n">
        <v>1190401</v>
      </c>
      <c r="E1043" s="80" t="inlineStr">
        <is>
          <t>CAMISA OXFORD CELESTE M/LARGA T "S"</t>
        </is>
      </c>
      <c r="F1043" s="67" t="inlineStr">
        <is>
          <t>UN</t>
        </is>
      </c>
      <c r="G1043" s="84" t="n">
        <v>9</v>
      </c>
      <c r="H1043" s="57" t="inlineStr"/>
      <c r="I1043" s="139" t="n">
        <v>394.2</v>
      </c>
      <c r="J1043" s="140" t="n">
        <v>46.84884615384615</v>
      </c>
      <c r="K1043" s="86" t="inlineStr">
        <is>
          <t>PEN</t>
        </is>
      </c>
    </row>
    <row r="1044">
      <c r="A1044" s="84" t="n">
        <v>32003811</v>
      </c>
      <c r="B1044" s="67" t="inlineStr">
        <is>
          <t>TPSU</t>
        </is>
      </c>
      <c r="C1044" s="90" t="inlineStr">
        <is>
          <t>L001</t>
        </is>
      </c>
      <c r="D1044" s="84" t="n">
        <v>1190402</v>
      </c>
      <c r="E1044" s="80" t="inlineStr">
        <is>
          <t>CAMISA OXFORD CELESTE M/LARGA T "L"</t>
        </is>
      </c>
      <c r="F1044" s="67" t="inlineStr">
        <is>
          <t>UN</t>
        </is>
      </c>
      <c r="G1044" s="84" t="n">
        <v>22</v>
      </c>
      <c r="H1044" s="57" t="inlineStr"/>
      <c r="I1044" s="139" t="n">
        <v>963.6</v>
      </c>
      <c r="J1044" s="140" t="n">
        <v>36.7</v>
      </c>
      <c r="K1044" s="86" t="inlineStr">
        <is>
          <t>PEN</t>
        </is>
      </c>
    </row>
    <row r="1045">
      <c r="A1045" s="84" t="n">
        <v>32003814</v>
      </c>
      <c r="B1045" s="67" t="inlineStr">
        <is>
          <t>TPSU</t>
        </is>
      </c>
      <c r="C1045" s="90" t="inlineStr">
        <is>
          <t>L001</t>
        </is>
      </c>
      <c r="D1045" s="84" t="n">
        <v>1190402</v>
      </c>
      <c r="E1045" s="80" t="inlineStr">
        <is>
          <t>CAMISA OXFORD CELESTE M/LARGA T "XL"</t>
        </is>
      </c>
      <c r="F1045" s="67" t="inlineStr">
        <is>
          <t>UN</t>
        </is>
      </c>
      <c r="G1045" s="84" t="n">
        <v>6</v>
      </c>
      <c r="H1045" s="57" t="inlineStr"/>
      <c r="I1045" s="139" t="n">
        <v>262.26</v>
      </c>
      <c r="J1045" s="140" t="n">
        <v>51.562</v>
      </c>
      <c r="K1045" s="86" t="inlineStr">
        <is>
          <t>PEN</t>
        </is>
      </c>
    </row>
    <row r="1046">
      <c r="A1046" s="84" t="n">
        <v>32003815</v>
      </c>
      <c r="B1046" s="67" t="inlineStr">
        <is>
          <t>TPSU</t>
        </is>
      </c>
      <c r="C1046" s="90" t="inlineStr">
        <is>
          <t>L001</t>
        </is>
      </c>
      <c r="D1046" s="84" t="n">
        <v>1190403</v>
      </c>
      <c r="E1046" s="80" t="inlineStr">
        <is>
          <t>CAMISA OXFORD CELESTE M/LARGA T "XXL"</t>
        </is>
      </c>
      <c r="F1046" s="67" t="inlineStr">
        <is>
          <t>UN</t>
        </is>
      </c>
      <c r="G1046" s="84" t="n">
        <v>9</v>
      </c>
      <c r="H1046" s="57" t="inlineStr"/>
      <c r="I1046" s="139" t="n">
        <v>366.33</v>
      </c>
      <c r="J1046" s="140" t="n">
        <v>19.64428571428571</v>
      </c>
      <c r="K1046" s="86" t="inlineStr">
        <is>
          <t>PEN</t>
        </is>
      </c>
    </row>
    <row r="1047">
      <c r="A1047" s="84" t="n">
        <v>32003586</v>
      </c>
      <c r="B1047" s="67" t="inlineStr">
        <is>
          <t>TPSU</t>
        </is>
      </c>
      <c r="C1047" s="90" t="inlineStr">
        <is>
          <t>L001</t>
        </is>
      </c>
      <c r="D1047" s="84" t="n">
        <v>1190404</v>
      </c>
      <c r="E1047" s="80" t="inlineStr">
        <is>
          <t>BLUSA OXFORD CELESTE M/LARGA C/LOGO M</t>
        </is>
      </c>
      <c r="F1047" s="67" t="inlineStr">
        <is>
          <t>UN</t>
        </is>
      </c>
      <c r="G1047" s="84" t="n">
        <v>6</v>
      </c>
      <c r="H1047" s="57" t="inlineStr"/>
      <c r="I1047" s="139" t="n">
        <v>253.2</v>
      </c>
      <c r="J1047" s="140" t="n">
        <v>6.31</v>
      </c>
      <c r="K1047" s="86" t="inlineStr">
        <is>
          <t>PEN</t>
        </is>
      </c>
    </row>
    <row r="1048">
      <c r="A1048" s="84" t="n">
        <v>32003587</v>
      </c>
      <c r="B1048" s="67" t="inlineStr">
        <is>
          <t>TPSU</t>
        </is>
      </c>
      <c r="C1048" s="90" t="inlineStr">
        <is>
          <t>L001</t>
        </is>
      </c>
      <c r="D1048" s="84" t="n">
        <v>1190404</v>
      </c>
      <c r="E1048" s="80" t="inlineStr">
        <is>
          <t>BLUSA OXFORD CELESTE M/LARGA C/LOGO S</t>
        </is>
      </c>
      <c r="F1048" s="67" t="inlineStr">
        <is>
          <t>UN</t>
        </is>
      </c>
      <c r="G1048" s="84" t="n">
        <v>6</v>
      </c>
      <c r="H1048" s="57" t="inlineStr"/>
      <c r="I1048" s="139" t="n">
        <v>253.2</v>
      </c>
      <c r="J1048" s="140" t="n">
        <v>32.07363966142684</v>
      </c>
      <c r="K1048" s="86" t="inlineStr">
        <is>
          <t>PEN</t>
        </is>
      </c>
    </row>
    <row r="1049">
      <c r="A1049" s="84" t="n">
        <v>32003585</v>
      </c>
      <c r="B1049" s="67" t="inlineStr">
        <is>
          <t>TPSU</t>
        </is>
      </c>
      <c r="C1049" s="90" t="inlineStr">
        <is>
          <t>L001</t>
        </is>
      </c>
      <c r="D1049" s="84" t="n">
        <v>1190405</v>
      </c>
      <c r="E1049" s="80" t="inlineStr">
        <is>
          <t>BLUSA OXFORD CELESTE M/LARGA C/LOGO L</t>
        </is>
      </c>
      <c r="F1049" s="67" t="inlineStr">
        <is>
          <t>UN</t>
        </is>
      </c>
      <c r="G1049" s="84" t="n">
        <v>4</v>
      </c>
      <c r="H1049" s="57" t="inlineStr"/>
      <c r="I1049" s="139" t="n">
        <v>168.8</v>
      </c>
      <c r="J1049" s="140" t="n">
        <v>37.84747311827957</v>
      </c>
      <c r="K1049" s="86" t="inlineStr">
        <is>
          <t>PEN</t>
        </is>
      </c>
    </row>
    <row r="1050">
      <c r="A1050" s="84" t="n">
        <v>32003588</v>
      </c>
      <c r="B1050" s="67" t="inlineStr">
        <is>
          <t>TPSU</t>
        </is>
      </c>
      <c r="C1050" s="90" t="inlineStr">
        <is>
          <t>L001</t>
        </is>
      </c>
      <c r="D1050" s="84" t="n">
        <v>1190405</v>
      </c>
      <c r="E1050" s="80" t="inlineStr">
        <is>
          <t>BLUSA OXFORD CELESTE M/LARGA C/LOGO XL</t>
        </is>
      </c>
      <c r="F1050" s="67" t="inlineStr">
        <is>
          <t>UN</t>
        </is>
      </c>
      <c r="G1050" s="84" t="n">
        <v>8</v>
      </c>
      <c r="H1050" s="57" t="inlineStr"/>
      <c r="I1050" s="139" t="n">
        <v>286.8</v>
      </c>
      <c r="J1050" s="140" t="n">
        <v>24.89622807017544</v>
      </c>
      <c r="K1050" s="86" t="inlineStr">
        <is>
          <t>PEN</t>
        </is>
      </c>
    </row>
    <row r="1051">
      <c r="A1051" s="84" t="n">
        <v>34005473</v>
      </c>
      <c r="B1051" s="67" t="inlineStr">
        <is>
          <t>TPSU</t>
        </is>
      </c>
      <c r="C1051" s="90" t="inlineStr">
        <is>
          <t>L001</t>
        </is>
      </c>
      <c r="D1051" s="84" t="n">
        <v>1190502</v>
      </c>
      <c r="E1051" s="80" t="inlineStr">
        <is>
          <t>FRASCO RESERVA PE-LD CUELLO ESTR. 1000ML</t>
        </is>
      </c>
      <c r="F1051" s="67" t="inlineStr">
        <is>
          <t>UN</t>
        </is>
      </c>
      <c r="G1051" s="84" t="n">
        <v>5</v>
      </c>
      <c r="H1051" s="57" t="inlineStr"/>
      <c r="I1051" s="139" t="n">
        <v>1750</v>
      </c>
      <c r="J1051" s="140" t="n">
        <v>25.50339506172839</v>
      </c>
      <c r="K1051" s="86" t="inlineStr">
        <is>
          <t>PEN</t>
        </is>
      </c>
    </row>
    <row r="1052">
      <c r="A1052" s="84" t="n">
        <v>32004944</v>
      </c>
      <c r="B1052" s="67" t="inlineStr">
        <is>
          <t>TPSU</t>
        </is>
      </c>
      <c r="C1052" s="90" t="inlineStr">
        <is>
          <t>L001</t>
        </is>
      </c>
      <c r="D1052" s="84" t="n">
        <v>1200101</v>
      </c>
      <c r="E1052" s="80" t="inlineStr">
        <is>
          <t>POLO ALGODON AZUL M/LARGA C/ALTO "S"</t>
        </is>
      </c>
      <c r="F1052" s="67" t="inlineStr">
        <is>
          <t>UN</t>
        </is>
      </c>
      <c r="G1052" s="84" t="n">
        <v>6</v>
      </c>
      <c r="H1052" s="57" t="inlineStr"/>
      <c r="I1052" s="139" t="n">
        <v>100.2</v>
      </c>
      <c r="J1052" s="140" t="n">
        <v>24.02853260869565</v>
      </c>
      <c r="K1052" s="86" t="inlineStr">
        <is>
          <t>PEN</t>
        </is>
      </c>
    </row>
    <row r="1053">
      <c r="A1053" s="84" t="n">
        <v>32004942</v>
      </c>
      <c r="B1053" s="67" t="inlineStr">
        <is>
          <t>TPSU</t>
        </is>
      </c>
      <c r="C1053" s="90" t="inlineStr">
        <is>
          <t>L001</t>
        </is>
      </c>
      <c r="D1053" s="84" t="n">
        <v>1200102</v>
      </c>
      <c r="E1053" s="80" t="inlineStr">
        <is>
          <t>POLO ALGODON AZUL M/LARGA C/ALTO "L"</t>
        </is>
      </c>
      <c r="F1053" s="67" t="inlineStr">
        <is>
          <t>UN</t>
        </is>
      </c>
      <c r="G1053" s="84" t="n">
        <v>27</v>
      </c>
      <c r="H1053" s="57" t="inlineStr"/>
      <c r="I1053" s="139" t="n">
        <v>450.9</v>
      </c>
      <c r="J1053" s="140" t="n">
        <v>68.93786023054756</v>
      </c>
      <c r="K1053" s="86" t="inlineStr">
        <is>
          <t>PEN</t>
        </is>
      </c>
    </row>
    <row r="1054">
      <c r="A1054" s="84" t="n">
        <v>32004943</v>
      </c>
      <c r="B1054" s="67" t="inlineStr">
        <is>
          <t>TPSU</t>
        </is>
      </c>
      <c r="C1054" s="90" t="inlineStr">
        <is>
          <t>L001</t>
        </is>
      </c>
      <c r="D1054" s="84" t="n">
        <v>1200102</v>
      </c>
      <c r="E1054" s="80" t="inlineStr">
        <is>
          <t>POLO ALGODÓN AZUL M/LARGA C/ALTO "M"</t>
        </is>
      </c>
      <c r="F1054" s="67" t="inlineStr">
        <is>
          <t>UN</t>
        </is>
      </c>
      <c r="G1054" s="84" t="n">
        <v>18</v>
      </c>
      <c r="H1054" s="57" t="inlineStr"/>
      <c r="I1054" s="139" t="n">
        <v>300.6</v>
      </c>
      <c r="J1054" s="140" t="n">
        <v>58.55236363636364</v>
      </c>
      <c r="K1054" s="86" t="inlineStr">
        <is>
          <t>PEN</t>
        </is>
      </c>
    </row>
    <row r="1055">
      <c r="A1055" s="84" t="n">
        <v>32004945</v>
      </c>
      <c r="B1055" s="67" t="inlineStr">
        <is>
          <t>TPSU</t>
        </is>
      </c>
      <c r="C1055" s="90" t="inlineStr">
        <is>
          <t>L001</t>
        </is>
      </c>
      <c r="D1055" s="84" t="n">
        <v>1200104</v>
      </c>
      <c r="E1055" s="80" t="inlineStr">
        <is>
          <t>POLO ALGODON AZUL M/LARGA C/ALTO "XL"</t>
        </is>
      </c>
      <c r="F1055" s="67" t="inlineStr">
        <is>
          <t>UN</t>
        </is>
      </c>
      <c r="G1055" s="84" t="n">
        <v>18</v>
      </c>
      <c r="H1055" s="57" t="inlineStr"/>
      <c r="I1055" s="139" t="n">
        <v>300.6</v>
      </c>
      <c r="J1055" s="140" t="n">
        <v>6.402555555555556</v>
      </c>
      <c r="K1055" s="86" t="inlineStr">
        <is>
          <t>PEN</t>
        </is>
      </c>
    </row>
    <row r="1056">
      <c r="A1056" s="84" t="n">
        <v>32004946</v>
      </c>
      <c r="B1056" s="67" t="inlineStr">
        <is>
          <t>TPSU</t>
        </is>
      </c>
      <c r="C1056" s="90" t="inlineStr">
        <is>
          <t>L001</t>
        </is>
      </c>
      <c r="D1056" s="84" t="n">
        <v>1200104</v>
      </c>
      <c r="E1056" s="80" t="inlineStr">
        <is>
          <t>POLO ALGODON AZUL M/LARGA C/ALTO "XXL</t>
        </is>
      </c>
      <c r="F1056" s="67" t="inlineStr">
        <is>
          <t>UN</t>
        </is>
      </c>
      <c r="G1056" s="84" t="n">
        <v>3</v>
      </c>
      <c r="H1056" s="57" t="inlineStr"/>
      <c r="I1056" s="139" t="n">
        <v>50.1</v>
      </c>
      <c r="J1056" s="140" t="n">
        <v>443.785</v>
      </c>
      <c r="K1056" s="86" t="inlineStr">
        <is>
          <t>PEN</t>
        </is>
      </c>
    </row>
    <row r="1057">
      <c r="A1057" s="84" t="n">
        <v>32004652</v>
      </c>
      <c r="B1057" s="67" t="inlineStr">
        <is>
          <t>TPSU</t>
        </is>
      </c>
      <c r="C1057" s="90" t="inlineStr">
        <is>
          <t>L001</t>
        </is>
      </c>
      <c r="D1057" s="84" t="n">
        <v>1200201</v>
      </c>
      <c r="E1057" s="80" t="inlineStr">
        <is>
          <t>MAMELUCO RIPSTOP AZUL/VERDE TALLA S</t>
        </is>
      </c>
      <c r="F1057" s="67" t="inlineStr">
        <is>
          <t>UN</t>
        </is>
      </c>
      <c r="G1057" s="84" t="n">
        <v>17</v>
      </c>
      <c r="H1057" s="57" t="inlineStr"/>
      <c r="I1057" s="139" t="n">
        <v>1906.72</v>
      </c>
      <c r="J1057" s="140" t="n">
        <v>15.5394190560714</v>
      </c>
      <c r="K1057" s="86" t="inlineStr">
        <is>
          <t>PEN</t>
        </is>
      </c>
    </row>
    <row r="1058">
      <c r="A1058" s="84" t="n">
        <v>32004654</v>
      </c>
      <c r="B1058" s="67" t="inlineStr">
        <is>
          <t>TPSU</t>
        </is>
      </c>
      <c r="C1058" s="90" t="inlineStr">
        <is>
          <t>L001</t>
        </is>
      </c>
      <c r="D1058" s="84" t="n">
        <v>1200201</v>
      </c>
      <c r="E1058" s="80" t="inlineStr">
        <is>
          <t>MAMELUCO RIPSTOP AZUL/VERDE TALLA XS</t>
        </is>
      </c>
      <c r="F1058" s="67" t="inlineStr">
        <is>
          <t>UN</t>
        </is>
      </c>
      <c r="G1058" s="84" t="n">
        <v>7</v>
      </c>
      <c r="H1058" s="57" t="inlineStr"/>
      <c r="I1058" s="139" t="n">
        <v>789.08</v>
      </c>
      <c r="J1058" s="140" t="n">
        <v>5.19000067132116</v>
      </c>
      <c r="K1058" s="86" t="inlineStr">
        <is>
          <t>PEN</t>
        </is>
      </c>
    </row>
    <row r="1059">
      <c r="A1059" s="84" t="n">
        <v>32004651</v>
      </c>
      <c r="B1059" s="67" t="inlineStr">
        <is>
          <t>TPSU</t>
        </is>
      </c>
      <c r="C1059" s="90" t="inlineStr">
        <is>
          <t>L001</t>
        </is>
      </c>
      <c r="D1059" s="84" t="n">
        <v>1200202</v>
      </c>
      <c r="E1059" s="80" t="inlineStr">
        <is>
          <t>MAMELUCO RIPSTOP AZUL/VERDE TALLA M</t>
        </is>
      </c>
      <c r="F1059" s="67" t="inlineStr">
        <is>
          <t>UN</t>
        </is>
      </c>
      <c r="G1059" s="84" t="n">
        <v>124</v>
      </c>
      <c r="H1059" s="57" t="inlineStr"/>
      <c r="I1059" s="139" t="n">
        <v>13963.96</v>
      </c>
      <c r="J1059" s="140" t="n">
        <v>38.03</v>
      </c>
      <c r="K1059" s="86" t="inlineStr">
        <is>
          <t>PEN</t>
        </is>
      </c>
    </row>
    <row r="1060">
      <c r="A1060" s="84" t="n">
        <v>32004650</v>
      </c>
      <c r="B1060" s="67" t="inlineStr">
        <is>
          <t>TPSU</t>
        </is>
      </c>
      <c r="C1060" s="90" t="inlineStr">
        <is>
          <t>L001</t>
        </is>
      </c>
      <c r="D1060" s="84" t="n">
        <v>1200301</v>
      </c>
      <c r="E1060" s="80" t="inlineStr">
        <is>
          <t>MAMELUCO RIPSTOP AZUL/VERDE TALLA L</t>
        </is>
      </c>
      <c r="F1060" s="67" t="inlineStr">
        <is>
          <t>UN</t>
        </is>
      </c>
      <c r="G1060" s="84" t="n">
        <v>199</v>
      </c>
      <c r="H1060" s="57" t="inlineStr"/>
      <c r="I1060" s="139" t="n">
        <v>22288</v>
      </c>
      <c r="J1060" s="140" t="n">
        <v>0.17</v>
      </c>
      <c r="K1060" s="86" t="inlineStr">
        <is>
          <t>PEN</t>
        </is>
      </c>
    </row>
    <row r="1061">
      <c r="A1061" s="84" t="n">
        <v>32004655</v>
      </c>
      <c r="B1061" s="67" t="inlineStr">
        <is>
          <t>TPSU</t>
        </is>
      </c>
      <c r="C1061" s="90" t="inlineStr">
        <is>
          <t>L001</t>
        </is>
      </c>
      <c r="D1061" s="84" t="n">
        <v>1200401</v>
      </c>
      <c r="E1061" s="80" t="inlineStr">
        <is>
          <t>MAMELUCO RIPSTOP AZUL/VERDE TALLA XXL</t>
        </is>
      </c>
      <c r="F1061" s="67" t="inlineStr">
        <is>
          <t>UN</t>
        </is>
      </c>
      <c r="G1061" s="84" t="n">
        <v>13</v>
      </c>
      <c r="H1061" s="57" t="inlineStr"/>
      <c r="I1061" s="139" t="n">
        <v>1442.98</v>
      </c>
      <c r="J1061" s="140" t="n">
        <v>36.25</v>
      </c>
      <c r="K1061" s="86" t="inlineStr">
        <is>
          <t>PEN</t>
        </is>
      </c>
    </row>
    <row r="1062">
      <c r="A1062" s="84" t="n">
        <v>32004653</v>
      </c>
      <c r="B1062" s="67" t="inlineStr">
        <is>
          <t>TPSU</t>
        </is>
      </c>
      <c r="C1062" s="90" t="inlineStr">
        <is>
          <t>L001</t>
        </is>
      </c>
      <c r="D1062" s="84" t="n">
        <v>1200402</v>
      </c>
      <c r="E1062" s="80" t="inlineStr">
        <is>
          <t>MAMELUCO RIPSTOP AZUL/VERDE TALLA XL</t>
        </is>
      </c>
      <c r="F1062" s="67" t="inlineStr">
        <is>
          <t>UN</t>
        </is>
      </c>
      <c r="G1062" s="84" t="n">
        <v>149</v>
      </c>
      <c r="H1062" s="57" t="inlineStr"/>
      <c r="I1062" s="139" t="n">
        <v>16895.53</v>
      </c>
      <c r="J1062" s="140" t="n">
        <v>5.63</v>
      </c>
      <c r="K1062" s="86" t="inlineStr">
        <is>
          <t>PEN</t>
        </is>
      </c>
    </row>
    <row r="1063">
      <c r="A1063" s="84" t="n">
        <v>33034500</v>
      </c>
      <c r="B1063" s="67" t="inlineStr">
        <is>
          <t>TPSU</t>
        </is>
      </c>
      <c r="C1063" s="90" t="inlineStr">
        <is>
          <t>L001</t>
        </is>
      </c>
      <c r="D1063" s="84" t="n">
        <v>1210205</v>
      </c>
      <c r="E1063" s="80" t="inlineStr">
        <is>
          <t>LLANTA 265/65R17 A/T</t>
        </is>
      </c>
      <c r="F1063" s="67" t="inlineStr">
        <is>
          <t>UN</t>
        </is>
      </c>
      <c r="G1063" s="84" t="n">
        <v>1</v>
      </c>
      <c r="H1063" s="57" t="inlineStr"/>
      <c r="I1063" s="139" t="n">
        <v>648.21</v>
      </c>
      <c r="J1063" s="140" t="n">
        <v>5.189989785495404</v>
      </c>
      <c r="K1063" s="86" t="inlineStr">
        <is>
          <t>PEN</t>
        </is>
      </c>
    </row>
    <row r="1064">
      <c r="A1064" s="84" t="n">
        <v>31009814</v>
      </c>
      <c r="B1064" s="67" t="inlineStr">
        <is>
          <t>TPSU</t>
        </is>
      </c>
      <c r="C1064" s="90" t="inlineStr">
        <is>
          <t>L001</t>
        </is>
      </c>
      <c r="D1064" s="84" t="n">
        <v>1220103</v>
      </c>
      <c r="E1064" s="80" t="inlineStr">
        <is>
          <t>DILUYENTE JET ECOPOXY 100</t>
        </is>
      </c>
      <c r="F1064" s="67" t="inlineStr">
        <is>
          <t>GLN</t>
        </is>
      </c>
      <c r="G1064" s="84" t="n">
        <v>4</v>
      </c>
      <c r="H1064" s="57" t="inlineStr">
        <is>
          <t>0226572</t>
        </is>
      </c>
      <c r="I1064" s="139" t="n">
        <v>279.91</v>
      </c>
      <c r="J1064" s="140" t="n">
        <v>226</v>
      </c>
      <c r="K1064" s="86" t="inlineStr">
        <is>
          <t>PEN</t>
        </is>
      </c>
    </row>
    <row r="1065">
      <c r="A1065" s="84" t="n">
        <v>31015365</v>
      </c>
      <c r="B1065" s="67" t="inlineStr">
        <is>
          <t>TPSU</t>
        </is>
      </c>
      <c r="C1065" s="90" t="inlineStr">
        <is>
          <t>L001</t>
        </is>
      </c>
      <c r="D1065" s="84" t="n">
        <v>1220103</v>
      </c>
      <c r="E1065" s="80" t="inlineStr">
        <is>
          <t>JET THINNER STD SIC. (NO CONTROLADO)</t>
        </is>
      </c>
      <c r="F1065" s="67" t="inlineStr">
        <is>
          <t>GLN</t>
        </is>
      </c>
      <c r="G1065" s="84" t="n">
        <v>2</v>
      </c>
      <c r="H1065" s="57" t="inlineStr">
        <is>
          <t>0229548</t>
        </is>
      </c>
      <c r="I1065" s="139" t="n">
        <v>81.26000000000001</v>
      </c>
      <c r="J1065" s="140" t="n">
        <v>0.205</v>
      </c>
      <c r="K1065" s="86" t="inlineStr">
        <is>
          <t>PEN</t>
        </is>
      </c>
    </row>
    <row r="1066">
      <c r="A1066" s="84" t="n">
        <v>31015365</v>
      </c>
      <c r="B1066" s="67" t="inlineStr">
        <is>
          <t>TPSU</t>
        </is>
      </c>
      <c r="C1066" s="90" t="inlineStr">
        <is>
          <t>L001</t>
        </is>
      </c>
      <c r="D1066" s="84" t="n">
        <v>1220103</v>
      </c>
      <c r="E1066" s="80" t="inlineStr">
        <is>
          <t>JET THINNER STD SIC. (NO CONTROLADO)</t>
        </is>
      </c>
      <c r="F1066" s="67" t="inlineStr">
        <is>
          <t>GLN</t>
        </is>
      </c>
      <c r="G1066" s="84" t="n">
        <v>9</v>
      </c>
      <c r="H1066" s="57" t="inlineStr">
        <is>
          <t>0230120</t>
        </is>
      </c>
      <c r="I1066" s="139" t="n">
        <v>365.68</v>
      </c>
      <c r="J1066" s="140" t="n">
        <v>24.68509090909091</v>
      </c>
      <c r="K1066" s="86" t="inlineStr">
        <is>
          <t>PEN</t>
        </is>
      </c>
    </row>
    <row r="1067">
      <c r="A1067" s="84" t="n">
        <v>31013902</v>
      </c>
      <c r="B1067" s="67" t="inlineStr">
        <is>
          <t>TPSU</t>
        </is>
      </c>
      <c r="C1067" s="90" t="inlineStr">
        <is>
          <t>L001</t>
        </is>
      </c>
      <c r="D1067" s="84" t="n">
        <v>1220105</v>
      </c>
      <c r="E1067" s="80" t="inlineStr">
        <is>
          <t>SOLVENTE DIELECTRICO SQP-66-NF X 1 GL</t>
        </is>
      </c>
      <c r="F1067" s="67" t="inlineStr">
        <is>
          <t>GLN</t>
        </is>
      </c>
      <c r="G1067" s="84" t="n">
        <v>17</v>
      </c>
      <c r="H1067" s="57" t="inlineStr">
        <is>
          <t>3230002476</t>
        </is>
      </c>
      <c r="I1067" s="139" t="n">
        <v>2389.35</v>
      </c>
      <c r="J1067" s="140" t="n">
        <v>24.68529411764706</v>
      </c>
      <c r="K1067" s="86" t="inlineStr">
        <is>
          <t>PEN</t>
        </is>
      </c>
    </row>
    <row r="1068">
      <c r="A1068" s="84" t="n">
        <v>32005161</v>
      </c>
      <c r="B1068" s="67" t="inlineStr">
        <is>
          <t>TPSU</t>
        </is>
      </c>
      <c r="C1068" s="90" t="inlineStr">
        <is>
          <t>L001</t>
        </is>
      </c>
      <c r="D1068" s="84" t="n">
        <v>1220105</v>
      </c>
      <c r="E1068" s="80" t="inlineStr">
        <is>
          <t>SOLVENTE ECOLOGICO ULTRA SOLVE 40</t>
        </is>
      </c>
      <c r="F1068" s="67" t="inlineStr">
        <is>
          <t>GLN</t>
        </is>
      </c>
      <c r="G1068" s="84" t="n">
        <v>20</v>
      </c>
      <c r="H1068" s="57" t="inlineStr">
        <is>
          <t>OP-27290</t>
        </is>
      </c>
      <c r="I1068" s="139" t="n">
        <v>1525.1</v>
      </c>
      <c r="J1068" s="140" t="n">
        <v>38.035</v>
      </c>
      <c r="K1068" s="86" t="inlineStr">
        <is>
          <t>PEN</t>
        </is>
      </c>
    </row>
    <row r="1069">
      <c r="A1069" s="84" t="n">
        <v>31009813</v>
      </c>
      <c r="B1069" s="67" t="inlineStr">
        <is>
          <t>TPSU</t>
        </is>
      </c>
      <c r="C1069" s="90" t="inlineStr">
        <is>
          <t>L001</t>
        </is>
      </c>
      <c r="D1069" s="84" t="n">
        <v>1220203</v>
      </c>
      <c r="E1069" s="141" t="inlineStr">
        <is>
          <t>DILUYENTE JET ECOPOL</t>
        </is>
      </c>
      <c r="F1069" s="67" t="inlineStr">
        <is>
          <t>GLN</t>
        </is>
      </c>
      <c r="G1069" s="84" t="n">
        <v>9</v>
      </c>
      <c r="H1069" s="57" t="inlineStr">
        <is>
          <t>0223089</t>
        </is>
      </c>
      <c r="I1069" s="139" t="n">
        <v>439.55</v>
      </c>
      <c r="J1069" s="140" t="n">
        <v>38.03436363636364</v>
      </c>
      <c r="K1069" s="86" t="inlineStr">
        <is>
          <t>PEN</t>
        </is>
      </c>
    </row>
    <row r="1070">
      <c r="A1070" s="84" t="n">
        <v>31029220</v>
      </c>
      <c r="B1070" s="67" t="inlineStr">
        <is>
          <t>TPSU</t>
        </is>
      </c>
      <c r="C1070" s="90" t="inlineStr">
        <is>
          <t>L001</t>
        </is>
      </c>
      <c r="D1070" s="84" t="n">
        <v>1220302</v>
      </c>
      <c r="E1070" s="80" t="inlineStr">
        <is>
          <t>PINT.ANTCORRO.JOTA.90AL(3/4)+CAT(1/4)</t>
        </is>
      </c>
      <c r="F1070" s="67" t="inlineStr">
        <is>
          <t>JGO</t>
        </is>
      </c>
      <c r="G1070" s="84" t="n">
        <v>2</v>
      </c>
      <c r="H1070" s="57" t="inlineStr">
        <is>
          <t>46375</t>
        </is>
      </c>
      <c r="I1070" s="139" t="n">
        <v>289.35</v>
      </c>
      <c r="J1070" s="140" t="n">
        <v>38.03445454545454</v>
      </c>
      <c r="K1070" s="86" t="inlineStr">
        <is>
          <t>PEN</t>
        </is>
      </c>
    </row>
    <row r="1071">
      <c r="A1071" s="84" t="n">
        <v>31030003</v>
      </c>
      <c r="B1071" s="67" t="inlineStr">
        <is>
          <t>TPSU</t>
        </is>
      </c>
      <c r="C1071" s="90" t="inlineStr">
        <is>
          <t>L001</t>
        </is>
      </c>
      <c r="D1071" s="84" t="n">
        <v>1220302</v>
      </c>
      <c r="E1071" s="141" t="inlineStr">
        <is>
          <t>PINT.JOTAMAS.90 CELESTE1550 (3/4)+(1/4)</t>
        </is>
      </c>
      <c r="F1071" s="67" t="inlineStr">
        <is>
          <t>JGO</t>
        </is>
      </c>
      <c r="G1071" s="84" t="n">
        <v>7</v>
      </c>
      <c r="H1071" s="57" t="inlineStr">
        <is>
          <t>OP00047009</t>
        </is>
      </c>
      <c r="I1071" s="139" t="n">
        <v>1006.92</v>
      </c>
      <c r="J1071" s="140" t="n">
        <v>38.03445454545454</v>
      </c>
      <c r="K1071" s="86" t="inlineStr">
        <is>
          <t>PEN</t>
        </is>
      </c>
    </row>
    <row r="1072">
      <c r="A1072" s="84" t="n">
        <v>31029557</v>
      </c>
      <c r="B1072" s="67" t="inlineStr">
        <is>
          <t>TPSU</t>
        </is>
      </c>
      <c r="C1072" s="90" t="inlineStr">
        <is>
          <t>L001</t>
        </is>
      </c>
      <c r="D1072" s="84" t="n">
        <v>1220302</v>
      </c>
      <c r="E1072" s="141" t="inlineStr">
        <is>
          <t>PINT.JOTAMAS.90GRIS1680(3/4)+(1/4)</t>
        </is>
      </c>
      <c r="F1072" s="67" t="inlineStr">
        <is>
          <t>JGO</t>
        </is>
      </c>
      <c r="G1072" s="84" t="n">
        <v>12</v>
      </c>
      <c r="H1072" s="57" t="inlineStr">
        <is>
          <t>2797490</t>
        </is>
      </c>
      <c r="I1072" s="139" t="n">
        <v>1722.53</v>
      </c>
      <c r="J1072" s="140" t="n">
        <v>21.50977777777778</v>
      </c>
      <c r="K1072" s="86" t="inlineStr">
        <is>
          <t>PEN</t>
        </is>
      </c>
    </row>
    <row r="1073">
      <c r="A1073" s="84" t="n">
        <v>31015364</v>
      </c>
      <c r="B1073" s="67" t="inlineStr">
        <is>
          <t>TPSU</t>
        </is>
      </c>
      <c r="C1073" s="90" t="inlineStr">
        <is>
          <t>L001</t>
        </is>
      </c>
      <c r="D1073" s="84" t="n">
        <v>1220303</v>
      </c>
      <c r="E1073" s="80" t="inlineStr">
        <is>
          <t>DILUYENTE JET ECOPOXY 90</t>
        </is>
      </c>
      <c r="F1073" s="67" t="inlineStr">
        <is>
          <t>GLN</t>
        </is>
      </c>
      <c r="G1073" s="84" t="n">
        <v>2</v>
      </c>
      <c r="H1073" s="57" t="inlineStr">
        <is>
          <t>0221903</t>
        </is>
      </c>
      <c r="I1073" s="139" t="n">
        <v>93.7</v>
      </c>
      <c r="J1073" s="140" t="n">
        <v>66.05163636363636</v>
      </c>
      <c r="K1073" s="86" t="inlineStr">
        <is>
          <t>PEN</t>
        </is>
      </c>
    </row>
    <row r="1074">
      <c r="A1074" s="84" t="n">
        <v>31015364</v>
      </c>
      <c r="B1074" s="67" t="inlineStr">
        <is>
          <t>TPSU</t>
        </is>
      </c>
      <c r="C1074" s="90" t="inlineStr">
        <is>
          <t>L001</t>
        </is>
      </c>
      <c r="D1074" s="84" t="n">
        <v>1220303</v>
      </c>
      <c r="E1074" s="80" t="inlineStr">
        <is>
          <t>DILUYENTE JET ECOPOXY 90</t>
        </is>
      </c>
      <c r="F1074" s="67" t="inlineStr">
        <is>
          <t>GLN</t>
        </is>
      </c>
      <c r="G1074" s="84" t="n">
        <v>16</v>
      </c>
      <c r="H1074" s="57" t="inlineStr">
        <is>
          <t>0222244</t>
        </is>
      </c>
      <c r="I1074" s="139" t="n">
        <v>749.58</v>
      </c>
      <c r="J1074" s="140" t="n">
        <v>33.07745454545454</v>
      </c>
      <c r="K1074" s="86" t="inlineStr">
        <is>
          <t>PEN</t>
        </is>
      </c>
    </row>
    <row r="1075">
      <c r="A1075" s="84" t="n">
        <v>31015364</v>
      </c>
      <c r="B1075" s="67" t="inlineStr">
        <is>
          <t>TPSU</t>
        </is>
      </c>
      <c r="C1075" s="90" t="inlineStr">
        <is>
          <t>L001</t>
        </is>
      </c>
      <c r="D1075" s="84" t="n">
        <v>1220303</v>
      </c>
      <c r="E1075" s="80" t="inlineStr">
        <is>
          <t>DILUYENTE JET ECOPOXY 90</t>
        </is>
      </c>
      <c r="F1075" s="67" t="inlineStr">
        <is>
          <t>GLN</t>
        </is>
      </c>
      <c r="G1075" s="84" t="n">
        <v>26</v>
      </c>
      <c r="H1075" s="57" t="inlineStr">
        <is>
          <t>0223251</t>
        </is>
      </c>
      <c r="I1075" s="139" t="n">
        <v>1218.07</v>
      </c>
      <c r="J1075" s="140" t="n">
        <v>33.07745454545454</v>
      </c>
      <c r="K1075" s="86" t="inlineStr">
        <is>
          <t>PEN</t>
        </is>
      </c>
    </row>
    <row r="1076">
      <c r="A1076" s="84" t="n">
        <v>31029214</v>
      </c>
      <c r="B1076" s="67" t="inlineStr">
        <is>
          <t>TPSU</t>
        </is>
      </c>
      <c r="C1076" s="90" t="inlineStr">
        <is>
          <t>L001</t>
        </is>
      </c>
      <c r="D1076" s="84" t="n">
        <v>1220403</v>
      </c>
      <c r="E1076" s="80" t="inlineStr">
        <is>
          <t>DILUYENTE EPOXICO JOTUN 37</t>
        </is>
      </c>
      <c r="F1076" s="67" t="inlineStr">
        <is>
          <t>UN</t>
        </is>
      </c>
      <c r="G1076" s="84" t="n">
        <v>4</v>
      </c>
      <c r="H1076" s="57" t="inlineStr">
        <is>
          <t>OP00046131</t>
        </is>
      </c>
      <c r="I1076" s="139" t="n">
        <v>146.8</v>
      </c>
      <c r="J1076" s="140" t="n">
        <v>31.30777777777778</v>
      </c>
      <c r="K1076" s="86" t="inlineStr">
        <is>
          <t>PEN</t>
        </is>
      </c>
    </row>
    <row r="1077">
      <c r="A1077" s="84" t="n">
        <v>31029215</v>
      </c>
      <c r="B1077" s="67" t="inlineStr">
        <is>
          <t>TPSU</t>
        </is>
      </c>
      <c r="C1077" s="90" t="inlineStr">
        <is>
          <t>L001</t>
        </is>
      </c>
      <c r="D1077" s="84" t="n">
        <v>1220503</v>
      </c>
      <c r="E1077" s="80" t="inlineStr">
        <is>
          <t>DILUYENTE POLIURETANO JOTUN 36</t>
        </is>
      </c>
      <c r="F1077" s="67" t="inlineStr">
        <is>
          <t>UN</t>
        </is>
      </c>
      <c r="G1077" s="84" t="n">
        <v>5</v>
      </c>
      <c r="H1077" s="57" t="inlineStr">
        <is>
          <t>OP00048127</t>
        </is>
      </c>
      <c r="I1077" s="139" t="n">
        <v>257.81</v>
      </c>
      <c r="J1077" s="140" t="n">
        <v>38.68836363636364</v>
      </c>
      <c r="K1077" s="86" t="inlineStr">
        <is>
          <t>PEN</t>
        </is>
      </c>
    </row>
    <row r="1078">
      <c r="A1078" s="84" t="n">
        <v>31008595</v>
      </c>
      <c r="B1078" s="67" t="inlineStr">
        <is>
          <t>TPSU</t>
        </is>
      </c>
      <c r="C1078" s="90" t="inlineStr">
        <is>
          <t>L001</t>
        </is>
      </c>
      <c r="D1078" s="84" t="n">
        <v>1230103</v>
      </c>
      <c r="E1078" s="80" t="inlineStr">
        <is>
          <t>AQA 3700 ENV. X 21 KG.= 5 GLNS.</t>
        </is>
      </c>
      <c r="F1078" s="67" t="inlineStr">
        <is>
          <t>KG</t>
        </is>
      </c>
      <c r="G1078" s="84" t="n">
        <v>21</v>
      </c>
      <c r="H1078" s="57" t="inlineStr">
        <is>
          <t>0022111101</t>
        </is>
      </c>
      <c r="I1078" s="139" t="n">
        <v>412.53</v>
      </c>
      <c r="J1078" s="140" t="n">
        <v>38.68836363636364</v>
      </c>
      <c r="K1078" s="86" t="inlineStr">
        <is>
          <t>PEN</t>
        </is>
      </c>
    </row>
    <row r="1079">
      <c r="A1079" s="84" t="n">
        <v>40001374</v>
      </c>
      <c r="B1079" s="67" t="inlineStr">
        <is>
          <t>TPSU</t>
        </is>
      </c>
      <c r="C1079" s="90" t="inlineStr">
        <is>
          <t>L001</t>
        </is>
      </c>
      <c r="D1079" s="84" t="n">
        <v>2220101</v>
      </c>
      <c r="E1079" s="80" t="inlineStr">
        <is>
          <t>PCO ACEITE DESTILADO LIGERO</t>
        </is>
      </c>
      <c r="F1079" s="67" t="inlineStr">
        <is>
          <t>KG</t>
        </is>
      </c>
      <c r="G1079" s="84" t="n">
        <v>180</v>
      </c>
      <c r="H1079" s="57" t="inlineStr">
        <is>
          <t>20716CNO05</t>
        </is>
      </c>
      <c r="I1079" s="139" t="n">
        <v>1135.8</v>
      </c>
      <c r="J1079" s="140" t="n">
        <v>38.68836363636364</v>
      </c>
      <c r="K1079" s="86" t="inlineStr">
        <is>
          <t>PEN</t>
        </is>
      </c>
    </row>
    <row r="1080">
      <c r="A1080" s="84" t="n">
        <v>31013600</v>
      </c>
      <c r="B1080" s="67" t="inlineStr">
        <is>
          <t>TPSU</t>
        </is>
      </c>
      <c r="C1080" s="90" t="inlineStr">
        <is>
          <t>L001</t>
        </is>
      </c>
      <c r="D1080" s="84" t="n">
        <v>2220101</v>
      </c>
      <c r="E1080" s="80" t="inlineStr">
        <is>
          <t>RED NY TO CN 210/24 X 9/16" 360 MA</t>
        </is>
      </c>
      <c r="F1080" s="67" t="inlineStr">
        <is>
          <t>KG</t>
        </is>
      </c>
      <c r="G1080" s="84" t="n">
        <v>330.8</v>
      </c>
      <c r="H1080" s="57" t="inlineStr"/>
      <c r="I1080" s="139" t="n">
        <v>10609.96</v>
      </c>
      <c r="J1080" s="140" t="n">
        <v>38.68836363636364</v>
      </c>
      <c r="K1080" s="86" t="inlineStr">
        <is>
          <t>PEN</t>
        </is>
      </c>
    </row>
    <row r="1081">
      <c r="A1081" s="84" t="n">
        <v>31013606</v>
      </c>
      <c r="B1081" s="67" t="inlineStr">
        <is>
          <t>TPSU</t>
        </is>
      </c>
      <c r="C1081" s="90" t="inlineStr">
        <is>
          <t>L001</t>
        </is>
      </c>
      <c r="D1081" s="84" t="n">
        <v>2220101</v>
      </c>
      <c r="E1081" s="80" t="inlineStr">
        <is>
          <t>RED NY TR CN 210/42 X 5/8" 2.8 BZ.BD</t>
        </is>
      </c>
      <c r="F1081" s="67" t="inlineStr">
        <is>
          <t>KG</t>
        </is>
      </c>
      <c r="G1081" s="84" t="n">
        <v>372</v>
      </c>
      <c r="H1081" s="57" t="inlineStr"/>
      <c r="I1081" s="139" t="n">
        <v>14079.26</v>
      </c>
      <c r="J1081" s="140" t="n">
        <v>38.68831683168317</v>
      </c>
      <c r="K1081" s="86" t="inlineStr">
        <is>
          <t>PEN</t>
        </is>
      </c>
    </row>
    <row r="1082">
      <c r="A1082" s="84" t="n">
        <v>31013608</v>
      </c>
      <c r="B1082" s="67" t="inlineStr">
        <is>
          <t>TPSU</t>
        </is>
      </c>
      <c r="C1082" s="90" t="inlineStr">
        <is>
          <t>L001</t>
        </is>
      </c>
      <c r="D1082" s="84" t="n">
        <v>2220101</v>
      </c>
      <c r="E1082" s="80" t="inlineStr">
        <is>
          <t>RED NY TZ CN 210/128 X 4" 100 MA</t>
        </is>
      </c>
      <c r="F1082" s="67" t="inlineStr">
        <is>
          <t>KG</t>
        </is>
      </c>
      <c r="G1082" s="84" t="n">
        <v>228</v>
      </c>
      <c r="H1082" s="57" t="inlineStr"/>
      <c r="I1082" s="139" t="n">
        <v>5676.34</v>
      </c>
      <c r="J1082" s="140" t="n">
        <v>24.46865979381443</v>
      </c>
      <c r="K1082" s="86" t="inlineStr">
        <is>
          <t>PEN</t>
        </is>
      </c>
    </row>
    <row r="1083">
      <c r="A1083" s="84" t="n">
        <v>31013609</v>
      </c>
      <c r="B1083" s="67" t="inlineStr">
        <is>
          <t>TPSU</t>
        </is>
      </c>
      <c r="C1083" s="90" t="inlineStr">
        <is>
          <t>L001</t>
        </is>
      </c>
      <c r="D1083" s="84" t="n">
        <v>2220101</v>
      </c>
      <c r="E1083" s="80" t="inlineStr">
        <is>
          <t>RED NY TZ CN 210/240 X 2" 10 MA</t>
        </is>
      </c>
      <c r="F1083" s="67" t="inlineStr">
        <is>
          <t>KG</t>
        </is>
      </c>
      <c r="G1083" s="84" t="n">
        <v>64.8</v>
      </c>
      <c r="H1083" s="57" t="inlineStr"/>
      <c r="I1083" s="139" t="n">
        <v>1652.62</v>
      </c>
      <c r="J1083" s="140" t="n">
        <v>24.46863636363636</v>
      </c>
      <c r="K1083" s="86" t="inlineStr">
        <is>
          <t>PEN</t>
        </is>
      </c>
    </row>
    <row r="1084">
      <c r="A1084" s="84" t="n">
        <v>31013610</v>
      </c>
      <c r="B1084" s="67" t="inlineStr">
        <is>
          <t>TPSU</t>
        </is>
      </c>
      <c r="C1084" s="90" t="inlineStr">
        <is>
          <t>L001</t>
        </is>
      </c>
      <c r="D1084" s="84" t="n">
        <v>2220101</v>
      </c>
      <c r="E1084" s="80" t="inlineStr">
        <is>
          <t>RED NY TZ CN 210/240 X 2" 2 MA</t>
        </is>
      </c>
      <c r="F1084" s="67" t="inlineStr">
        <is>
          <t>KG</t>
        </is>
      </c>
      <c r="G1084" s="84" t="n">
        <v>36.8</v>
      </c>
      <c r="H1084" s="57" t="inlineStr"/>
      <c r="I1084" s="139" t="n">
        <v>884.25</v>
      </c>
      <c r="J1084" s="140" t="n">
        <v>36.42733333333333</v>
      </c>
      <c r="K1084" s="86" t="inlineStr">
        <is>
          <t>PEN</t>
        </is>
      </c>
    </row>
    <row r="1085">
      <c r="A1085" s="84" t="n">
        <v>31013617</v>
      </c>
      <c r="B1085" s="67" t="inlineStr">
        <is>
          <t>TPSU</t>
        </is>
      </c>
      <c r="C1085" s="90" t="inlineStr">
        <is>
          <t>L001</t>
        </is>
      </c>
      <c r="D1085" s="84" t="n">
        <v>2220101</v>
      </c>
      <c r="E1085" s="80" t="inlineStr">
        <is>
          <t>RED PES TO SN 250/22 X 5/8" 100MA</t>
        </is>
      </c>
      <c r="F1085" s="67" t="inlineStr">
        <is>
          <t>KG</t>
        </is>
      </c>
      <c r="G1085" s="84" t="n">
        <v>277.6</v>
      </c>
      <c r="H1085" s="57" t="inlineStr"/>
      <c r="I1085" s="139" t="n">
        <v>19137.15</v>
      </c>
      <c r="J1085" s="140" t="n">
        <v>59.942</v>
      </c>
      <c r="K1085" s="86" t="inlineStr">
        <is>
          <t>PEN</t>
        </is>
      </c>
    </row>
    <row r="1086">
      <c r="A1086" s="84" t="n">
        <v>31009186</v>
      </c>
      <c r="B1086" s="67" t="inlineStr">
        <is>
          <t>TPSU</t>
        </is>
      </c>
      <c r="C1086" s="90" t="inlineStr">
        <is>
          <t>L001</t>
        </is>
      </c>
      <c r="D1086" s="84" t="n">
        <v>2230105</v>
      </c>
      <c r="E1086" s="80" t="inlineStr">
        <is>
          <t>CADENA AC. C/CONTRETE G2 3/4"</t>
        </is>
      </c>
      <c r="F1086" s="67" t="inlineStr">
        <is>
          <t>M</t>
        </is>
      </c>
      <c r="G1086" s="84" t="n">
        <v>27.5</v>
      </c>
      <c r="H1086" s="57" t="inlineStr"/>
      <c r="I1086" s="139" t="n">
        <v>1610.19</v>
      </c>
      <c r="J1086" s="140" t="n">
        <v>33.39971428571429</v>
      </c>
      <c r="K1086" s="86" t="inlineStr">
        <is>
          <t>PEN</t>
        </is>
      </c>
    </row>
    <row r="1087">
      <c r="A1087" s="84" t="n">
        <v>32004434</v>
      </c>
      <c r="B1087" s="67" t="inlineStr">
        <is>
          <t>TPSU</t>
        </is>
      </c>
      <c r="C1087" s="90" t="inlineStr">
        <is>
          <t>L001</t>
        </is>
      </c>
      <c r="D1087" s="84" t="n">
        <v>2240103</v>
      </c>
      <c r="E1087" s="80" t="inlineStr">
        <is>
          <t>HIPOCLORITO CALCIO AL 65%</t>
        </is>
      </c>
      <c r="F1087" s="67" t="inlineStr">
        <is>
          <t>KG</t>
        </is>
      </c>
      <c r="G1087" s="84" t="n">
        <v>360</v>
      </c>
      <c r="H1087" s="57" t="inlineStr">
        <is>
          <t>20191205</t>
        </is>
      </c>
      <c r="I1087" s="139" t="n">
        <v>2304.92</v>
      </c>
      <c r="J1087" s="140" t="n">
        <v>33.39975757575758</v>
      </c>
      <c r="K1087" s="86" t="inlineStr">
        <is>
          <t>PEN</t>
        </is>
      </c>
    </row>
    <row r="1088">
      <c r="A1088" s="84" t="n">
        <v>31011162</v>
      </c>
      <c r="B1088" s="67" t="inlineStr">
        <is>
          <t>TPSU</t>
        </is>
      </c>
      <c r="C1088" s="90" t="inlineStr">
        <is>
          <t>L001</t>
        </is>
      </c>
      <c r="D1088" s="84" t="n">
        <v>2240103</v>
      </c>
      <c r="E1088" s="80" t="inlineStr">
        <is>
          <t>KAOLITE 2300 LI GUN  X 25 KG</t>
        </is>
      </c>
      <c r="F1088" s="67" t="inlineStr">
        <is>
          <t>SAC</t>
        </is>
      </c>
      <c r="G1088" s="84" t="n">
        <v>6</v>
      </c>
      <c r="H1088" s="57" t="inlineStr">
        <is>
          <t>MA003946</t>
        </is>
      </c>
      <c r="I1088" s="139" t="n">
        <v>2662.71</v>
      </c>
      <c r="J1088" s="140" t="n">
        <v>4.898128205128205</v>
      </c>
      <c r="K1088" s="86" t="inlineStr">
        <is>
          <t>PEN</t>
        </is>
      </c>
    </row>
    <row r="1089">
      <c r="A1089" s="84" t="n">
        <v>30000527</v>
      </c>
      <c r="B1089" s="67" t="inlineStr">
        <is>
          <t>TPSU</t>
        </is>
      </c>
      <c r="C1089" s="90" t="inlineStr">
        <is>
          <t>L001</t>
        </is>
      </c>
      <c r="D1089" s="84" t="n">
        <v>2250101</v>
      </c>
      <c r="E1089" s="80" t="inlineStr">
        <is>
          <t>PETROLEO DIESEL B5 S50 PD - TASA</t>
        </is>
      </c>
      <c r="F1089" s="67" t="inlineStr">
        <is>
          <t>GLN</t>
        </is>
      </c>
      <c r="G1089" s="84" t="n">
        <v>32056.45</v>
      </c>
      <c r="H1089" s="57" t="inlineStr"/>
      <c r="I1089" s="139" t="n">
        <v>498138.61</v>
      </c>
      <c r="J1089" s="140" t="n">
        <v>0</v>
      </c>
      <c r="K1089" s="86" t="inlineStr">
        <is>
          <t>PEN</t>
        </is>
      </c>
    </row>
    <row r="1090">
      <c r="A1090" s="84" t="n">
        <v>30000528</v>
      </c>
      <c r="B1090" s="67" t="inlineStr">
        <is>
          <t>TPSU</t>
        </is>
      </c>
      <c r="C1090" s="90" t="inlineStr">
        <is>
          <t>L001</t>
        </is>
      </c>
      <c r="D1090" s="84" t="n">
        <v>2250107</v>
      </c>
      <c r="E1090" s="80" t="inlineStr">
        <is>
          <t>PETROLEO INDUSTRIAL N° 500</t>
        </is>
      </c>
      <c r="F1090" s="67" t="inlineStr">
        <is>
          <t>GLN</t>
        </is>
      </c>
      <c r="G1090" s="84" t="n">
        <v>595.84</v>
      </c>
      <c r="H1090" s="57" t="inlineStr"/>
      <c r="I1090" s="139" t="n">
        <v>3092.41</v>
      </c>
      <c r="J1090" s="140" t="n">
        <v>0.9470333333333334</v>
      </c>
      <c r="K1090" s="86" t="inlineStr">
        <is>
          <t>PEN</t>
        </is>
      </c>
    </row>
    <row r="1091">
      <c r="A1091" s="84" t="n">
        <v>30000377</v>
      </c>
      <c r="B1091" s="67" t="inlineStr">
        <is>
          <t>TPSU</t>
        </is>
      </c>
      <c r="C1091" s="90" t="inlineStr">
        <is>
          <t>L005</t>
        </is>
      </c>
      <c r="D1091" s="84" t="inlineStr">
        <is>
          <t>AJUS-ALMAC</t>
        </is>
      </c>
      <c r="E1091" s="80" t="inlineStr">
        <is>
          <t>ACEITE MOBIL M-DEL MX 15W40 X 55 GLN</t>
        </is>
      </c>
      <c r="F1091" s="67" t="inlineStr">
        <is>
          <t>GLN</t>
        </is>
      </c>
      <c r="G1091" s="84" t="n">
        <v>1</v>
      </c>
      <c r="H1091" s="57" t="inlineStr">
        <is>
          <t>01538</t>
        </is>
      </c>
      <c r="I1091" s="139" t="n">
        <v>38.03</v>
      </c>
      <c r="J1091" s="140" t="n">
        <v>0</v>
      </c>
      <c r="K1091" s="86" t="inlineStr">
        <is>
          <t>PEN</t>
        </is>
      </c>
    </row>
    <row r="1092">
      <c r="A1092" s="84" t="n">
        <v>31008489</v>
      </c>
      <c r="B1092" s="67" t="inlineStr">
        <is>
          <t>TPSU</t>
        </is>
      </c>
      <c r="C1092" s="90" t="inlineStr">
        <is>
          <t>L004</t>
        </is>
      </c>
      <c r="D1092" s="84" t="inlineStr">
        <is>
          <t>AJUSTE</t>
        </is>
      </c>
      <c r="E1092" s="80" t="inlineStr">
        <is>
          <t>ANILLO PLANO G5 5/8"</t>
        </is>
      </c>
      <c r="F1092" s="67" t="inlineStr">
        <is>
          <t>UN</t>
        </is>
      </c>
      <c r="G1092" s="84" t="n">
        <v>4</v>
      </c>
      <c r="H1092" s="57" t="inlineStr"/>
      <c r="I1092" s="139" t="n">
        <v>0.68</v>
      </c>
      <c r="J1092" s="140" t="n">
        <v>30.12041875</v>
      </c>
      <c r="K1092" s="86" t="inlineStr">
        <is>
          <t>PEN</t>
        </is>
      </c>
    </row>
    <row r="1093">
      <c r="A1093" s="84" t="n">
        <v>32003918</v>
      </c>
      <c r="B1093" s="67" t="inlineStr">
        <is>
          <t>TPSU</t>
        </is>
      </c>
      <c r="C1093" s="90" t="inlineStr">
        <is>
          <t>L004</t>
        </is>
      </c>
      <c r="D1093" s="84" t="inlineStr">
        <is>
          <t>AJUSTE</t>
        </is>
      </c>
      <c r="E1093" s="80" t="inlineStr">
        <is>
          <t>CASCO SEGURIDAD POLIETILENO BLANCO C/LOG</t>
        </is>
      </c>
      <c r="F1093" s="67" t="inlineStr">
        <is>
          <t>UN</t>
        </is>
      </c>
      <c r="G1093" s="84" t="n">
        <v>1</v>
      </c>
      <c r="H1093" s="57" t="inlineStr"/>
      <c r="I1093" s="139" t="n">
        <v>36.25</v>
      </c>
      <c r="J1093" s="140" t="n">
        <v>30.12042</v>
      </c>
      <c r="K1093" s="86" t="inlineStr">
        <is>
          <t>PEN</t>
        </is>
      </c>
    </row>
    <row r="1094">
      <c r="A1094" s="84" t="n">
        <v>31011727</v>
      </c>
      <c r="B1094" s="67" t="inlineStr">
        <is>
          <t>TPSU</t>
        </is>
      </c>
      <c r="C1094" s="90" t="inlineStr">
        <is>
          <t>L004</t>
        </is>
      </c>
      <c r="D1094" s="84" t="inlineStr">
        <is>
          <t>AJUSTE</t>
        </is>
      </c>
      <c r="E1094" s="80" t="inlineStr">
        <is>
          <t>NIPLE 1" X 5" SCH40</t>
        </is>
      </c>
      <c r="F1094" s="67" t="inlineStr">
        <is>
          <t>UN</t>
        </is>
      </c>
      <c r="G1094" s="84" t="n">
        <v>1</v>
      </c>
      <c r="H1094" s="57" t="inlineStr"/>
      <c r="I1094" s="139" t="n">
        <v>5.63</v>
      </c>
      <c r="J1094" s="140" t="n">
        <v>2.666666666666667</v>
      </c>
      <c r="K1094" s="86" t="inlineStr">
        <is>
          <t>PEN</t>
        </is>
      </c>
    </row>
    <row r="1095">
      <c r="A1095" s="84" t="n">
        <v>30000528</v>
      </c>
      <c r="B1095" s="67" t="inlineStr">
        <is>
          <t>TPSU</t>
        </is>
      </c>
      <c r="C1095" s="90" t="inlineStr">
        <is>
          <t>L004</t>
        </is>
      </c>
      <c r="D1095" s="84" t="inlineStr">
        <is>
          <t>AJUSTE</t>
        </is>
      </c>
      <c r="E1095" s="80" t="inlineStr">
        <is>
          <t>PETROLEO INDUSTRIAL N° 500</t>
        </is>
      </c>
      <c r="F1095" s="67" t="inlineStr">
        <is>
          <t>GLN</t>
        </is>
      </c>
      <c r="G1095" s="84" t="n">
        <v>39.16</v>
      </c>
      <c r="H1095" s="57" t="inlineStr"/>
      <c r="I1095" s="139" t="n">
        <v>203.24</v>
      </c>
      <c r="J1095" s="140" t="n">
        <v>29.39790909090909</v>
      </c>
      <c r="K1095" s="86" t="inlineStr">
        <is>
          <t>PEN</t>
        </is>
      </c>
    </row>
    <row r="1096">
      <c r="A1096" s="84" t="n">
        <v>32005231</v>
      </c>
      <c r="B1096" s="67" t="inlineStr">
        <is>
          <t>TPSU</t>
        </is>
      </c>
      <c r="C1096" s="90" t="inlineStr">
        <is>
          <t>L004</t>
        </is>
      </c>
      <c r="D1096" s="84" t="inlineStr">
        <is>
          <t>AJUSTE</t>
        </is>
      </c>
      <c r="E1096" s="80" t="inlineStr">
        <is>
          <t>TARJETA DE IDENTIFICACION VERDE</t>
        </is>
      </c>
      <c r="F1096" s="67" t="inlineStr">
        <is>
          <t>MIL</t>
        </is>
      </c>
      <c r="G1096" s="84" t="n">
        <v>0.01</v>
      </c>
      <c r="H1096" s="57" t="inlineStr"/>
      <c r="I1096" s="139" t="n">
        <v>2.26</v>
      </c>
      <c r="J1096" s="140" t="n">
        <v>19.08391222570533</v>
      </c>
      <c r="K1096" s="86" t="inlineStr">
        <is>
          <t>PEN</t>
        </is>
      </c>
    </row>
    <row r="1097">
      <c r="A1097" s="84" t="n">
        <v>31014687</v>
      </c>
      <c r="B1097" s="67" t="inlineStr">
        <is>
          <t>TPSU</t>
        </is>
      </c>
      <c r="C1097" s="90" t="inlineStr">
        <is>
          <t>L004</t>
        </is>
      </c>
      <c r="D1097" s="84" t="inlineStr">
        <is>
          <t>AJUSTE</t>
        </is>
      </c>
      <c r="E1097" s="141" t="inlineStr">
        <is>
          <t>TUERCA G5 3/8"</t>
        </is>
      </c>
      <c r="F1097" s="67" t="inlineStr">
        <is>
          <t>UN</t>
        </is>
      </c>
      <c r="G1097" s="84" t="n">
        <v>6</v>
      </c>
      <c r="H1097" s="57" t="inlineStr"/>
      <c r="I1097" s="139" t="n">
        <v>1.23</v>
      </c>
      <c r="J1097" s="140" t="n">
        <v>36.4793</v>
      </c>
      <c r="K1097" s="86" t="inlineStr">
        <is>
          <t>PEN</t>
        </is>
      </c>
    </row>
    <row r="1098">
      <c r="A1098" s="84" t="n">
        <v>30000376</v>
      </c>
      <c r="B1098" s="67" t="inlineStr">
        <is>
          <t>TPSU</t>
        </is>
      </c>
      <c r="C1098" s="90" t="inlineStr">
        <is>
          <t>L001</t>
        </is>
      </c>
      <c r="D1098" s="84" t="inlineStr">
        <is>
          <t>ALMACEN 2</t>
        </is>
      </c>
      <c r="E1098" s="80" t="inlineStr">
        <is>
          <t>ACEITE MOBIL M-DEL 1240 CIL X 55 GLN</t>
        </is>
      </c>
      <c r="F1098" s="67" t="inlineStr">
        <is>
          <t>GLN</t>
        </is>
      </c>
      <c r="G1098" s="84" t="n">
        <v>55</v>
      </c>
      <c r="H1098" s="57" t="inlineStr">
        <is>
          <t>03189</t>
        </is>
      </c>
      <c r="I1098" s="139" t="n">
        <v>1357.68</v>
      </c>
      <c r="J1098" s="140" t="n">
        <v>17.41654347826087</v>
      </c>
      <c r="K1098" s="86" t="inlineStr">
        <is>
          <t>PEN</t>
        </is>
      </c>
    </row>
    <row r="1099">
      <c r="A1099" s="84" t="n">
        <v>30000376</v>
      </c>
      <c r="B1099" s="67" t="inlineStr">
        <is>
          <t>TPSU</t>
        </is>
      </c>
      <c r="C1099" s="90" t="inlineStr">
        <is>
          <t>L001</t>
        </is>
      </c>
      <c r="D1099" s="84" t="inlineStr">
        <is>
          <t>ALMACEN 2</t>
        </is>
      </c>
      <c r="E1099" s="80" t="inlineStr">
        <is>
          <t>ACEITE MOBIL M-DEL 1240 CIL X 55 GLN</t>
        </is>
      </c>
      <c r="F1099" s="67" t="inlineStr">
        <is>
          <t>GLN</t>
        </is>
      </c>
      <c r="G1099" s="84" t="n">
        <v>34</v>
      </c>
      <c r="H1099" s="57" t="inlineStr">
        <is>
          <t>L8A1140M</t>
        </is>
      </c>
      <c r="I1099" s="139" t="n">
        <v>839.3</v>
      </c>
      <c r="J1099" s="140" t="n">
        <v>12.59971792538671</v>
      </c>
      <c r="K1099" s="86" t="inlineStr">
        <is>
          <t>PEN</t>
        </is>
      </c>
    </row>
    <row r="1100">
      <c r="A1100" s="84" t="n">
        <v>30000377</v>
      </c>
      <c r="B1100" s="67" t="inlineStr">
        <is>
          <t>TPSU</t>
        </is>
      </c>
      <c r="C1100" s="90" t="inlineStr">
        <is>
          <t>L001</t>
        </is>
      </c>
      <c r="D1100" s="84" t="inlineStr">
        <is>
          <t>ALMACEN 2</t>
        </is>
      </c>
      <c r="E1100" s="80" t="inlineStr">
        <is>
          <t>ACEITE MOBIL M-DEL MX 15W40 X 55 GLN</t>
        </is>
      </c>
      <c r="F1100" s="67" t="inlineStr">
        <is>
          <t>GLN</t>
        </is>
      </c>
      <c r="G1100" s="84" t="n">
        <v>2</v>
      </c>
      <c r="H1100" s="57" t="inlineStr">
        <is>
          <t>02871</t>
        </is>
      </c>
      <c r="I1100" s="139" t="n">
        <v>76.06999999999999</v>
      </c>
      <c r="J1100" s="140" t="n">
        <v>16.32604139715395</v>
      </c>
      <c r="K1100" s="86" t="inlineStr">
        <is>
          <t>PEN</t>
        </is>
      </c>
    </row>
    <row r="1101">
      <c r="A1101" s="84" t="n">
        <v>30000377</v>
      </c>
      <c r="B1101" s="67" t="inlineStr">
        <is>
          <t>TPSU</t>
        </is>
      </c>
      <c r="C1101" s="90" t="inlineStr">
        <is>
          <t>L001</t>
        </is>
      </c>
      <c r="D1101" s="84" t="inlineStr">
        <is>
          <t>ALMACEN 2</t>
        </is>
      </c>
      <c r="E1101" s="80" t="inlineStr">
        <is>
          <t>ACEITE MOBIL M-DEL MX 15W40 X 55 GLN</t>
        </is>
      </c>
      <c r="F1101" s="67" t="inlineStr">
        <is>
          <t>GLN</t>
        </is>
      </c>
      <c r="G1101" s="84" t="n">
        <v>55</v>
      </c>
      <c r="H1101" s="57" t="inlineStr">
        <is>
          <t>06356</t>
        </is>
      </c>
      <c r="I1101" s="139" t="n">
        <v>2091.89</v>
      </c>
      <c r="J1101" s="140" t="n">
        <v>290</v>
      </c>
      <c r="K1101" s="86" t="inlineStr">
        <is>
          <t>PEN</t>
        </is>
      </c>
    </row>
    <row r="1102">
      <c r="A1102" s="84" t="n">
        <v>30000377</v>
      </c>
      <c r="B1102" s="67" t="inlineStr">
        <is>
          <t>TPSU</t>
        </is>
      </c>
      <c r="C1102" s="90" t="inlineStr">
        <is>
          <t>L001</t>
        </is>
      </c>
      <c r="D1102" s="84" t="inlineStr">
        <is>
          <t>ALMACEN 2</t>
        </is>
      </c>
      <c r="E1102" s="80" t="inlineStr">
        <is>
          <t>ACEITE MOBIL M-DEL MX 15W40 X 55 GLN</t>
        </is>
      </c>
      <c r="F1102" s="67" t="inlineStr">
        <is>
          <t>GLN</t>
        </is>
      </c>
      <c r="G1102" s="84" t="n">
        <v>220</v>
      </c>
      <c r="H1102" s="57" t="inlineStr">
        <is>
          <t>06496</t>
        </is>
      </c>
      <c r="I1102" s="139" t="n">
        <v>8367.58</v>
      </c>
      <c r="J1102" s="140" t="n">
        <v>175.82</v>
      </c>
      <c r="K1102" s="86" t="inlineStr">
        <is>
          <t>PEN</t>
        </is>
      </c>
    </row>
    <row r="1103">
      <c r="A1103" s="84" t="n">
        <v>30000377</v>
      </c>
      <c r="B1103" s="67" t="inlineStr">
        <is>
          <t>TPSU</t>
        </is>
      </c>
      <c r="C1103" s="90" t="inlineStr">
        <is>
          <t>L001</t>
        </is>
      </c>
      <c r="D1103" s="84" t="inlineStr">
        <is>
          <t>ALMACEN 2</t>
        </is>
      </c>
      <c r="E1103" s="80" t="inlineStr">
        <is>
          <t>ACEITE MOBIL M-DEL MX 15W40 X 55 GLN</t>
        </is>
      </c>
      <c r="F1103" s="67" t="inlineStr">
        <is>
          <t>GLN</t>
        </is>
      </c>
      <c r="G1103" s="84" t="n">
        <v>220</v>
      </c>
      <c r="H1103" s="57" t="inlineStr">
        <is>
          <t>06639</t>
        </is>
      </c>
      <c r="I1103" s="139" t="n">
        <v>8367.58</v>
      </c>
      <c r="J1103" s="140" t="n">
        <v>260.555</v>
      </c>
      <c r="K1103" s="86" t="inlineStr">
        <is>
          <t>PEN</t>
        </is>
      </c>
    </row>
    <row r="1104">
      <c r="A1104" s="84" t="n">
        <v>30000379</v>
      </c>
      <c r="B1104" s="67" t="inlineStr">
        <is>
          <t>TPSU</t>
        </is>
      </c>
      <c r="C1104" s="90" t="inlineStr">
        <is>
          <t>L001</t>
        </is>
      </c>
      <c r="D1104" s="84" t="inlineStr">
        <is>
          <t>ALMACEN 2</t>
        </is>
      </c>
      <c r="E1104" s="80" t="inlineStr">
        <is>
          <t>ACEITE MOBIL M-DTE 25 CIL X 55 GLN</t>
        </is>
      </c>
      <c r="F1104" s="67" t="inlineStr">
        <is>
          <t>GLN</t>
        </is>
      </c>
      <c r="G1104" s="84" t="n">
        <v>45</v>
      </c>
      <c r="H1104" s="57" t="inlineStr">
        <is>
          <t>03813</t>
        </is>
      </c>
      <c r="I1104" s="139" t="n">
        <v>967.9400000000001</v>
      </c>
      <c r="J1104" s="140" t="n">
        <v>260.5566666666667</v>
      </c>
      <c r="K1104" s="86" t="inlineStr">
        <is>
          <t>PEN</t>
        </is>
      </c>
    </row>
    <row r="1105">
      <c r="A1105" s="84" t="n">
        <v>30000380</v>
      </c>
      <c r="B1105" s="67" t="inlineStr">
        <is>
          <t>TPSU</t>
        </is>
      </c>
      <c r="C1105" s="90" t="inlineStr">
        <is>
          <t>L001</t>
        </is>
      </c>
      <c r="D1105" s="84" t="inlineStr">
        <is>
          <t>ALMACEN 2</t>
        </is>
      </c>
      <c r="E1105" s="80" t="inlineStr">
        <is>
          <t>ACEITE MOBIL M-GARGOYLE ARC 300 X 55 GLN</t>
        </is>
      </c>
      <c r="F1105" s="67" t="inlineStr">
        <is>
          <t>GLN</t>
        </is>
      </c>
      <c r="G1105" s="84" t="n">
        <v>55</v>
      </c>
      <c r="H1105" s="57" t="inlineStr">
        <is>
          <t>3003479</t>
        </is>
      </c>
      <c r="I1105" s="139" t="n">
        <v>3632.84</v>
      </c>
      <c r="J1105" s="140" t="n">
        <v>316.0166666666667</v>
      </c>
      <c r="K1105" s="86" t="inlineStr">
        <is>
          <t>PEN</t>
        </is>
      </c>
    </row>
    <row r="1106">
      <c r="A1106" s="84" t="n">
        <v>30000382</v>
      </c>
      <c r="B1106" s="67" t="inlineStr">
        <is>
          <t>TPSU</t>
        </is>
      </c>
      <c r="C1106" s="90" t="inlineStr">
        <is>
          <t>L001</t>
        </is>
      </c>
      <c r="D1106" s="84" t="inlineStr">
        <is>
          <t>ALMACEN 2</t>
        </is>
      </c>
      <c r="E1106" s="80" t="inlineStr">
        <is>
          <t>ACEITE MOBIL M-MOBILGARD 312 X 55 GLN</t>
        </is>
      </c>
      <c r="F1106" s="67" t="inlineStr">
        <is>
          <t>GLN</t>
        </is>
      </c>
      <c r="G1106" s="84" t="n">
        <v>55</v>
      </c>
      <c r="H1106" s="57" t="inlineStr">
        <is>
          <t>03726</t>
        </is>
      </c>
      <c r="I1106" s="139" t="n">
        <v>1819.26</v>
      </c>
      <c r="J1106" s="140" t="n">
        <v>316.015</v>
      </c>
      <c r="K1106" s="86" t="inlineStr">
        <is>
          <t>PEN</t>
        </is>
      </c>
    </row>
    <row r="1107">
      <c r="A1107" s="84" t="n">
        <v>30000382</v>
      </c>
      <c r="B1107" s="67" t="inlineStr">
        <is>
          <t>TPSU</t>
        </is>
      </c>
      <c r="C1107" s="90" t="inlineStr">
        <is>
          <t>L001</t>
        </is>
      </c>
      <c r="D1107" s="84" t="inlineStr">
        <is>
          <t>ALMACEN 2</t>
        </is>
      </c>
      <c r="E1107" s="80" t="inlineStr">
        <is>
          <t>ACEITE MOBIL M-MOBILGARD 312 X 55 GLN</t>
        </is>
      </c>
      <c r="F1107" s="67" t="inlineStr">
        <is>
          <t>GLN</t>
        </is>
      </c>
      <c r="G1107" s="84" t="n">
        <v>55</v>
      </c>
      <c r="H1107" s="57" t="inlineStr">
        <is>
          <t>04795</t>
        </is>
      </c>
      <c r="I1107" s="139" t="n">
        <v>1819.26</v>
      </c>
      <c r="J1107" s="140" t="n">
        <v>24.40057142857143</v>
      </c>
      <c r="K1107" s="86" t="inlineStr">
        <is>
          <t>PEN</t>
        </is>
      </c>
    </row>
    <row r="1108">
      <c r="A1108" s="84" t="n">
        <v>30000383</v>
      </c>
      <c r="B1108" s="67" t="inlineStr">
        <is>
          <t>TPSU</t>
        </is>
      </c>
      <c r="C1108" s="90" t="inlineStr">
        <is>
          <t>L001</t>
        </is>
      </c>
      <c r="D1108" s="84" t="inlineStr">
        <is>
          <t>ALMACEN 2</t>
        </is>
      </c>
      <c r="E1108" s="80" t="inlineStr">
        <is>
          <t>ACEITE MOBIL M-MOBILGARD 412 X 55 GLN</t>
        </is>
      </c>
      <c r="F1108" s="67" t="inlineStr">
        <is>
          <t>GLN</t>
        </is>
      </c>
      <c r="G1108" s="84" t="n">
        <v>45</v>
      </c>
      <c r="H1108" s="57" t="inlineStr">
        <is>
          <t>03407</t>
        </is>
      </c>
      <c r="I1108" s="139" t="n">
        <v>1408.85</v>
      </c>
      <c r="J1108" s="140" t="n">
        <v>1602.36</v>
      </c>
      <c r="K1108" s="86" t="inlineStr">
        <is>
          <t>PEN</t>
        </is>
      </c>
    </row>
    <row r="1109">
      <c r="A1109" s="84" t="n">
        <v>30000384</v>
      </c>
      <c r="B1109" s="67" t="inlineStr">
        <is>
          <t>TPSU</t>
        </is>
      </c>
      <c r="C1109" s="90" t="inlineStr">
        <is>
          <t>L001</t>
        </is>
      </c>
      <c r="D1109" s="84" t="inlineStr">
        <is>
          <t>ALMACEN 2</t>
        </is>
      </c>
      <c r="E1109" s="80" t="inlineStr">
        <is>
          <t>ACEITE MOBIL MOBILGEAR 600 XP 220 X55GLN</t>
        </is>
      </c>
      <c r="F1109" s="67" t="inlineStr">
        <is>
          <t>GLN</t>
        </is>
      </c>
      <c r="G1109" s="84" t="n">
        <v>55</v>
      </c>
      <c r="H1109" s="57" t="inlineStr">
        <is>
          <t>02136</t>
        </is>
      </c>
      <c r="I1109" s="139" t="n">
        <v>2127.86</v>
      </c>
      <c r="J1109" s="140" t="n">
        <v>19.22166666666667</v>
      </c>
      <c r="K1109" s="86" t="inlineStr">
        <is>
          <t>PEN</t>
        </is>
      </c>
    </row>
    <row r="1110">
      <c r="A1110" s="84" t="n">
        <v>30000384</v>
      </c>
      <c r="B1110" s="67" t="inlineStr">
        <is>
          <t>TPSU</t>
        </is>
      </c>
      <c r="C1110" s="90" t="inlineStr">
        <is>
          <t>L001</t>
        </is>
      </c>
      <c r="D1110" s="84" t="inlineStr">
        <is>
          <t>ALMACEN 2</t>
        </is>
      </c>
      <c r="E1110" s="80" t="inlineStr">
        <is>
          <t>ACEITE MOBIL MOBILGEAR 600 XP 220 X55GLN</t>
        </is>
      </c>
      <c r="F1110" s="67" t="inlineStr">
        <is>
          <t>GLN</t>
        </is>
      </c>
      <c r="G1110" s="84" t="n">
        <v>55</v>
      </c>
      <c r="H1110" s="57" t="inlineStr">
        <is>
          <t>03864</t>
        </is>
      </c>
      <c r="I1110" s="139" t="n">
        <v>2127.86</v>
      </c>
      <c r="J1110" s="140" t="n">
        <v>19.2215</v>
      </c>
      <c r="K1110" s="86" t="inlineStr">
        <is>
          <t>PEN</t>
        </is>
      </c>
    </row>
    <row r="1111">
      <c r="A1111" s="84" t="n">
        <v>30000384</v>
      </c>
      <c r="B1111" s="67" t="inlineStr">
        <is>
          <t>TPSU</t>
        </is>
      </c>
      <c r="C1111" s="90" t="inlineStr">
        <is>
          <t>L001</t>
        </is>
      </c>
      <c r="D1111" s="84" t="inlineStr">
        <is>
          <t>ALMACEN 2</t>
        </is>
      </c>
      <c r="E1111" s="80" t="inlineStr">
        <is>
          <t>ACEITE MOBIL MOBILGEAR 600 XP 220 X55GLN</t>
        </is>
      </c>
      <c r="F1111" s="67" t="inlineStr">
        <is>
          <t>GLN</t>
        </is>
      </c>
      <c r="G1111" s="84" t="n">
        <v>55</v>
      </c>
      <c r="H1111" s="57" t="inlineStr">
        <is>
          <t>05452</t>
        </is>
      </c>
      <c r="I1111" s="139" t="n">
        <v>2127.86</v>
      </c>
      <c r="J1111" s="140" t="n">
        <v>12.9261</v>
      </c>
      <c r="K1111" s="86" t="inlineStr">
        <is>
          <t>PEN</t>
        </is>
      </c>
    </row>
    <row r="1112">
      <c r="A1112" s="84" t="n">
        <v>30000384</v>
      </c>
      <c r="B1112" s="67" t="inlineStr">
        <is>
          <t>TPSU</t>
        </is>
      </c>
      <c r="C1112" s="90" t="inlineStr">
        <is>
          <t>L001</t>
        </is>
      </c>
      <c r="D1112" s="84" t="inlineStr">
        <is>
          <t>ALMACEN 2</t>
        </is>
      </c>
      <c r="E1112" s="80" t="inlineStr">
        <is>
          <t>ACEITE MOBIL MOBILGEAR 600 XP 220 X55GLN</t>
        </is>
      </c>
      <c r="F1112" s="67" t="inlineStr">
        <is>
          <t>GLN</t>
        </is>
      </c>
      <c r="G1112" s="84" t="n">
        <v>55</v>
      </c>
      <c r="H1112" s="57" t="inlineStr">
        <is>
          <t>07282</t>
        </is>
      </c>
      <c r="I1112" s="139" t="n">
        <v>2127.86</v>
      </c>
      <c r="J1112" s="140" t="n">
        <v>12.9261</v>
      </c>
      <c r="K1112" s="86" t="inlineStr">
        <is>
          <t>PEN</t>
        </is>
      </c>
    </row>
    <row r="1113">
      <c r="A1113" s="84" t="n">
        <v>30000384</v>
      </c>
      <c r="B1113" s="67" t="inlineStr">
        <is>
          <t>TPSU</t>
        </is>
      </c>
      <c r="C1113" s="90" t="inlineStr">
        <is>
          <t>L001</t>
        </is>
      </c>
      <c r="D1113" s="84" t="inlineStr">
        <is>
          <t>ALMACEN 2</t>
        </is>
      </c>
      <c r="E1113" s="80" t="inlineStr">
        <is>
          <t>ACEITE MOBIL MOBILGEAR 600 XP 220 X55GLN</t>
        </is>
      </c>
      <c r="F1113" s="67" t="inlineStr">
        <is>
          <t>GLN</t>
        </is>
      </c>
      <c r="G1113" s="84" t="n">
        <v>50.5</v>
      </c>
      <c r="H1113" s="57" t="inlineStr">
        <is>
          <t>E0655801M</t>
        </is>
      </c>
      <c r="I1113" s="139" t="n">
        <v>1953.76</v>
      </c>
      <c r="J1113" s="140" t="n">
        <v>12.9261</v>
      </c>
      <c r="K1113" s="86" t="inlineStr">
        <is>
          <t>PEN</t>
        </is>
      </c>
    </row>
    <row r="1114">
      <c r="A1114" s="84" t="n">
        <v>30000385</v>
      </c>
      <c r="B1114" s="67" t="inlineStr">
        <is>
          <t>TPSU</t>
        </is>
      </c>
      <c r="C1114" s="90" t="inlineStr">
        <is>
          <t>L001</t>
        </is>
      </c>
      <c r="D1114" s="84" t="inlineStr">
        <is>
          <t>ALMACEN 2</t>
        </is>
      </c>
      <c r="E1114" s="80" t="inlineStr">
        <is>
          <t>ACEITE MOBIL MOBILGEAR 600 XP 320 X55GLN</t>
        </is>
      </c>
      <c r="F1114" s="67" t="inlineStr">
        <is>
          <t>GLN</t>
        </is>
      </c>
      <c r="G1114" s="84" t="n">
        <v>97</v>
      </c>
      <c r="H1114" s="57" t="inlineStr">
        <is>
          <t>02355</t>
        </is>
      </c>
      <c r="I1114" s="139" t="n">
        <v>2373.46</v>
      </c>
      <c r="J1114" s="140" t="n">
        <v>30.114</v>
      </c>
      <c r="K1114" s="86" t="inlineStr">
        <is>
          <t>PEN</t>
        </is>
      </c>
    </row>
    <row r="1115">
      <c r="A1115" s="84" t="n">
        <v>30000385</v>
      </c>
      <c r="B1115" s="67" t="inlineStr">
        <is>
          <t>TPSU</t>
        </is>
      </c>
      <c r="C1115" s="90" t="inlineStr">
        <is>
          <t>L001</t>
        </is>
      </c>
      <c r="D1115" s="84" t="inlineStr">
        <is>
          <t>ALMACEN 2</t>
        </is>
      </c>
      <c r="E1115" s="80" t="inlineStr">
        <is>
          <t>ACEITE MOBIL MOBILGEAR 600 XP 320 X55GLN</t>
        </is>
      </c>
      <c r="F1115" s="67" t="inlineStr">
        <is>
          <t>GLN</t>
        </is>
      </c>
      <c r="G1115" s="84" t="n">
        <v>220</v>
      </c>
      <c r="H1115" s="57" t="inlineStr">
        <is>
          <t>03672</t>
        </is>
      </c>
      <c r="I1115" s="139" t="n">
        <v>5383.1</v>
      </c>
      <c r="J1115" s="140" t="n">
        <v>30.11383333333333</v>
      </c>
      <c r="K1115" s="86" t="inlineStr">
        <is>
          <t>PEN</t>
        </is>
      </c>
    </row>
    <row r="1116">
      <c r="A1116" s="84" t="n">
        <v>30000386</v>
      </c>
      <c r="B1116" s="67" t="inlineStr">
        <is>
          <t>TPSU</t>
        </is>
      </c>
      <c r="C1116" s="90" t="inlineStr">
        <is>
          <t>L001</t>
        </is>
      </c>
      <c r="D1116" s="84" t="inlineStr">
        <is>
          <t>ALMACEN 2</t>
        </is>
      </c>
      <c r="E1116" s="80" t="inlineStr">
        <is>
          <t>ACEITE MOBIL MOBILGEAR 600 XP 460X55 GLN</t>
        </is>
      </c>
      <c r="F1116" s="67" t="inlineStr">
        <is>
          <t>GLN</t>
        </is>
      </c>
      <c r="G1116" s="84" t="n">
        <v>30</v>
      </c>
      <c r="H1116" s="57" t="inlineStr">
        <is>
          <t>05717</t>
        </is>
      </c>
      <c r="I1116" s="139" t="n">
        <v>1092.82</v>
      </c>
      <c r="J1116" s="140" t="n">
        <v>30.11383333333333</v>
      </c>
      <c r="K1116" s="86" t="inlineStr">
        <is>
          <t>PEN</t>
        </is>
      </c>
    </row>
    <row r="1117">
      <c r="A1117" s="84" t="n">
        <v>30000388</v>
      </c>
      <c r="B1117" s="67" t="inlineStr">
        <is>
          <t>TPSU</t>
        </is>
      </c>
      <c r="C1117" s="90" t="inlineStr">
        <is>
          <t>L001</t>
        </is>
      </c>
      <c r="D1117" s="84" t="inlineStr">
        <is>
          <t>ALMACEN 2</t>
        </is>
      </c>
      <c r="E1117" s="80" t="inlineStr">
        <is>
          <t>ACEITE MOBIL MOBILGEAR 600 XP 680X55 GLN</t>
        </is>
      </c>
      <c r="F1117" s="67" t="inlineStr">
        <is>
          <t>GLN</t>
        </is>
      </c>
      <c r="G1117" s="84" t="n">
        <v>55</v>
      </c>
      <c r="H1117" s="57" t="inlineStr">
        <is>
          <t>06404</t>
        </is>
      </c>
      <c r="I1117" s="139" t="n">
        <v>3296.81</v>
      </c>
      <c r="J1117" s="140" t="n">
        <v>23.59466666666667</v>
      </c>
      <c r="K1117" s="86" t="inlineStr">
        <is>
          <t>PEN</t>
        </is>
      </c>
    </row>
    <row r="1118">
      <c r="A1118" s="84" t="n">
        <v>30000532</v>
      </c>
      <c r="B1118" s="67" t="inlineStr">
        <is>
          <t>TPSU</t>
        </is>
      </c>
      <c r="C1118" s="90" t="inlineStr">
        <is>
          <t>L001</t>
        </is>
      </c>
      <c r="D1118" s="84" t="inlineStr">
        <is>
          <t>ALMACEN 2</t>
        </is>
      </c>
      <c r="E1118" s="80" t="inlineStr">
        <is>
          <t>ACEITE MOBIL NUTO H 68 CIL X 55 GLN</t>
        </is>
      </c>
      <c r="F1118" s="67" t="inlineStr">
        <is>
          <t>GLN</t>
        </is>
      </c>
      <c r="G1118" s="84" t="n">
        <v>35</v>
      </c>
      <c r="H1118" s="57" t="inlineStr">
        <is>
          <t>06987</t>
        </is>
      </c>
      <c r="I1118" s="139" t="n">
        <v>1168.99</v>
      </c>
      <c r="J1118" s="140" t="n">
        <v>23.59466666666667</v>
      </c>
      <c r="K1118" s="86" t="inlineStr">
        <is>
          <t>PEN</t>
        </is>
      </c>
    </row>
    <row r="1119">
      <c r="A1119" s="84" t="n">
        <v>30000532</v>
      </c>
      <c r="B1119" s="67" t="inlineStr">
        <is>
          <t>TPSU</t>
        </is>
      </c>
      <c r="C1119" s="90" t="inlineStr">
        <is>
          <t>L001</t>
        </is>
      </c>
      <c r="D1119" s="84" t="inlineStr">
        <is>
          <t>ALMACEN 2</t>
        </is>
      </c>
      <c r="E1119" s="80" t="inlineStr">
        <is>
          <t>ACEITE MOBIL NUTO H 68 CIL X 55 GLN</t>
        </is>
      </c>
      <c r="F1119" s="67" t="inlineStr">
        <is>
          <t>GLN</t>
        </is>
      </c>
      <c r="G1119" s="84" t="n">
        <v>330</v>
      </c>
      <c r="H1119" s="57" t="inlineStr">
        <is>
          <t>07422</t>
        </is>
      </c>
      <c r="I1119" s="139" t="n">
        <v>11021.92</v>
      </c>
      <c r="J1119" s="140" t="n">
        <v>12.15714285714286</v>
      </c>
      <c r="K1119" s="86" t="inlineStr">
        <is>
          <t>PEN</t>
        </is>
      </c>
    </row>
    <row r="1120">
      <c r="A1120" s="84" t="n">
        <v>31027175</v>
      </c>
      <c r="B1120" s="67" t="inlineStr">
        <is>
          <t>TPSU</t>
        </is>
      </c>
      <c r="C1120" s="90" t="inlineStr">
        <is>
          <t>L001</t>
        </is>
      </c>
      <c r="D1120" s="84" t="inlineStr">
        <is>
          <t>ALMACEN 2</t>
        </is>
      </c>
      <c r="E1120" s="80" t="inlineStr">
        <is>
          <t>ALCOHOL ETILICO ABSOLUTO ANHIDRO (L)</t>
        </is>
      </c>
      <c r="F1120" s="67" t="inlineStr">
        <is>
          <t>L</t>
        </is>
      </c>
      <c r="G1120" s="84" t="n">
        <v>390</v>
      </c>
      <c r="H1120" s="57" t="inlineStr">
        <is>
          <t>640ML10522</t>
        </is>
      </c>
      <c r="I1120" s="139" t="n">
        <v>1910.27</v>
      </c>
      <c r="J1120" s="140" t="n">
        <v>12.157</v>
      </c>
      <c r="K1120" s="86" t="inlineStr">
        <is>
          <t>PEN</t>
        </is>
      </c>
    </row>
    <row r="1121">
      <c r="A1121" s="84" t="inlineStr">
        <is>
          <t>34005956CI</t>
        </is>
      </c>
      <c r="B1121" s="84" t="inlineStr">
        <is>
          <t>TPSU</t>
        </is>
      </c>
      <c r="C1121" s="91" t="inlineStr">
        <is>
          <t>L001</t>
        </is>
      </c>
      <c r="D1121" s="84" t="inlineStr">
        <is>
          <t>ALMACEN 2</t>
        </is>
      </c>
      <c r="E1121" s="80" t="inlineStr">
        <is>
          <t>ANILLA TUNA CLIPPER 1.1/8'' X 6''</t>
        </is>
      </c>
      <c r="F1121" s="67" t="inlineStr">
        <is>
          <t>UN</t>
        </is>
      </c>
      <c r="G1121" s="84" t="n">
        <v>13</v>
      </c>
      <c r="H1121" s="84" t="inlineStr">
        <is>
          <t>0000036640</t>
        </is>
      </c>
      <c r="I1121" s="139" t="n">
        <v>0</v>
      </c>
      <c r="J1121" s="140" t="n">
        <v>12.15702380952381</v>
      </c>
      <c r="K1121" s="86" t="inlineStr">
        <is>
          <t>PEN</t>
        </is>
      </c>
    </row>
    <row r="1122">
      <c r="A1122" s="84" t="n">
        <v>31008453</v>
      </c>
      <c r="B1122" s="67" t="inlineStr">
        <is>
          <t>TPSU</t>
        </is>
      </c>
      <c r="C1122" s="90" t="inlineStr">
        <is>
          <t>L001</t>
        </is>
      </c>
      <c r="D1122" s="84" t="inlineStr">
        <is>
          <t>ALMACEN 2</t>
        </is>
      </c>
      <c r="E1122" s="80" t="inlineStr">
        <is>
          <t>ANILLA TUNA CLIPPER 1.1/8" X 6A:34005956</t>
        </is>
      </c>
      <c r="F1122" s="67" t="inlineStr">
        <is>
          <t>UN</t>
        </is>
      </c>
      <c r="G1122" s="84" t="n">
        <v>300</v>
      </c>
      <c r="H1122" s="57" t="inlineStr">
        <is>
          <t>REPARADO</t>
        </is>
      </c>
      <c r="I1122" s="139" t="n">
        <v>284.11</v>
      </c>
      <c r="J1122" s="140" t="n">
        <v>12.157</v>
      </c>
      <c r="K1122" s="86" t="inlineStr">
        <is>
          <t>PEN</t>
        </is>
      </c>
    </row>
    <row r="1123">
      <c r="A1123" s="84" t="inlineStr">
        <is>
          <t>34005957CI</t>
        </is>
      </c>
      <c r="B1123" s="84" t="inlineStr">
        <is>
          <t>TPSU</t>
        </is>
      </c>
      <c r="C1123" s="91" t="inlineStr">
        <is>
          <t>L001</t>
        </is>
      </c>
      <c r="D1123" s="84" t="inlineStr">
        <is>
          <t>ALMACEN 2</t>
        </is>
      </c>
      <c r="E1123" s="80" t="inlineStr">
        <is>
          <t>ANILLA TUNA CLIPPER C/TRATAM 1 1/8''X8''</t>
        </is>
      </c>
      <c r="F1123" s="67" t="inlineStr">
        <is>
          <t>UN</t>
        </is>
      </c>
      <c r="G1123" s="84" t="n">
        <v>144</v>
      </c>
      <c r="H1123" s="84" t="inlineStr">
        <is>
          <t>REPARADO</t>
        </is>
      </c>
      <c r="I1123" s="139" t="n">
        <v>0</v>
      </c>
      <c r="J1123" s="140" t="n">
        <v>12.15704761904762</v>
      </c>
      <c r="K1123" s="86" t="inlineStr">
        <is>
          <t>PEN</t>
        </is>
      </c>
    </row>
    <row r="1124">
      <c r="A1124" s="84" t="n">
        <v>10200012</v>
      </c>
      <c r="B1124" s="67" t="inlineStr">
        <is>
          <t>TPSU</t>
        </is>
      </c>
      <c r="C1124" s="90" t="inlineStr">
        <is>
          <t>L001</t>
        </is>
      </c>
      <c r="D1124" s="84" t="inlineStr">
        <is>
          <t>ALMACEN 2</t>
        </is>
      </c>
      <c r="E1124" s="80" t="inlineStr">
        <is>
          <t>ANTIOXIDANTE ETOXIQUINA - NACIONAL</t>
        </is>
      </c>
      <c r="F1124" s="67" t="inlineStr">
        <is>
          <t>KG</t>
        </is>
      </c>
      <c r="G1124" s="84" t="n">
        <v>1600</v>
      </c>
      <c r="H1124" s="57" t="inlineStr">
        <is>
          <t>20220122</t>
        </is>
      </c>
      <c r="I1124" s="139" t="n">
        <v>48192.67</v>
      </c>
      <c r="J1124" s="140" t="n">
        <v>12.15702040816326</v>
      </c>
      <c r="K1124" s="86" t="inlineStr">
        <is>
          <t>PEN</t>
        </is>
      </c>
    </row>
    <row r="1125">
      <c r="A1125" s="84" t="n">
        <v>10200012</v>
      </c>
      <c r="B1125" s="67" t="inlineStr">
        <is>
          <t>TPSU</t>
        </is>
      </c>
      <c r="C1125" s="90" t="inlineStr">
        <is>
          <t>L001</t>
        </is>
      </c>
      <c r="D1125" s="84" t="inlineStr">
        <is>
          <t>ALMACEN 2</t>
        </is>
      </c>
      <c r="E1125" s="80" t="inlineStr">
        <is>
          <t>ANTIOXIDANTE ETOXIQUINA - NACIONAL</t>
        </is>
      </c>
      <c r="F1125" s="67" t="inlineStr">
        <is>
          <t>KG</t>
        </is>
      </c>
      <c r="G1125" s="84" t="n">
        <v>2000</v>
      </c>
      <c r="H1125" s="57" t="inlineStr">
        <is>
          <t>20220422</t>
        </is>
      </c>
      <c r="I1125" s="139" t="n">
        <v>60240.84</v>
      </c>
      <c r="J1125" s="140" t="n">
        <v>15.53942857142857</v>
      </c>
      <c r="K1125" s="86" t="inlineStr">
        <is>
          <t>PEN</t>
        </is>
      </c>
    </row>
    <row r="1126">
      <c r="A1126" s="84" t="n">
        <v>31008735</v>
      </c>
      <c r="B1126" s="67" t="inlineStr">
        <is>
          <t>TPSU</t>
        </is>
      </c>
      <c r="C1126" s="90" t="inlineStr">
        <is>
          <t>L001</t>
        </is>
      </c>
      <c r="D1126" s="84" t="inlineStr">
        <is>
          <t>ALMACEN 2</t>
        </is>
      </c>
      <c r="E1126" s="80" t="inlineStr">
        <is>
          <t>BARRA REDONDA LISA 3/16" INOX.304</t>
        </is>
      </c>
      <c r="F1126" s="67" t="inlineStr">
        <is>
          <t>M</t>
        </is>
      </c>
      <c r="G1126" s="84" t="n">
        <v>0.03</v>
      </c>
      <c r="H1126" s="57" t="inlineStr"/>
      <c r="I1126" s="139" t="n">
        <v>0.08</v>
      </c>
      <c r="J1126" s="140" t="n">
        <v>33.49168157423971</v>
      </c>
      <c r="K1126" s="86" t="inlineStr">
        <is>
          <t>PEN</t>
        </is>
      </c>
    </row>
    <row r="1127">
      <c r="A1127" s="84" t="n">
        <v>31009143</v>
      </c>
      <c r="B1127" s="67" t="inlineStr">
        <is>
          <t>TPSU</t>
        </is>
      </c>
      <c r="C1127" s="90" t="inlineStr">
        <is>
          <t>L001</t>
        </is>
      </c>
      <c r="D1127" s="84" t="inlineStr">
        <is>
          <t>ALMACEN 2</t>
        </is>
      </c>
      <c r="E1127" s="80" t="inlineStr">
        <is>
          <t>CABLE 6X19 (9/9/1) TON/ENG. AF GAL 7/8"</t>
        </is>
      </c>
      <c r="F1127" s="67" t="inlineStr">
        <is>
          <t>M</t>
        </is>
      </c>
      <c r="G1127" s="84" t="n">
        <v>220</v>
      </c>
      <c r="H1127" s="57" t="inlineStr"/>
      <c r="I1127" s="139" t="n">
        <v>6467.54</v>
      </c>
      <c r="J1127" s="140" t="n">
        <v>0.5888666666666666</v>
      </c>
      <c r="K1127" s="86" t="inlineStr">
        <is>
          <t>PEN</t>
        </is>
      </c>
    </row>
    <row r="1128">
      <c r="A1128" s="84" t="n">
        <v>31009145</v>
      </c>
      <c r="B1128" s="67" t="inlineStr">
        <is>
          <t>TPSU</t>
        </is>
      </c>
      <c r="C1128" s="90" t="inlineStr">
        <is>
          <t>L001</t>
        </is>
      </c>
      <c r="D1128" s="84" t="inlineStr">
        <is>
          <t>ALMACEN 2</t>
        </is>
      </c>
      <c r="E1128" s="80" t="inlineStr">
        <is>
          <t>CABLE 6X19 (9/9/1) TON/ENG. AF GALV 3/4"</t>
        </is>
      </c>
      <c r="F1128" s="67" t="inlineStr">
        <is>
          <t>M</t>
        </is>
      </c>
      <c r="G1128" s="84" t="n">
        <v>1595</v>
      </c>
      <c r="H1128" s="57" t="inlineStr"/>
      <c r="I1128" s="139" t="n">
        <v>30438.84</v>
      </c>
      <c r="J1128" s="140" t="n">
        <v>0.5888626506024097</v>
      </c>
      <c r="K1128" s="86" t="inlineStr">
        <is>
          <t>PEN</t>
        </is>
      </c>
    </row>
    <row r="1129">
      <c r="A1129" s="84" t="n">
        <v>31009146</v>
      </c>
      <c r="B1129" s="67" t="inlineStr">
        <is>
          <t>TPSU</t>
        </is>
      </c>
      <c r="C1129" s="90" t="inlineStr">
        <is>
          <t>L001</t>
        </is>
      </c>
      <c r="D1129" s="84" t="inlineStr">
        <is>
          <t>ALMACEN 2</t>
        </is>
      </c>
      <c r="E1129" s="80" t="inlineStr">
        <is>
          <t>CABLE 6X19 (9/9/1) TON/ENG. AF GALV. 1"</t>
        </is>
      </c>
      <c r="F1129" s="67" t="inlineStr">
        <is>
          <t>M</t>
        </is>
      </c>
      <c r="G1129" s="84" t="n">
        <v>1100</v>
      </c>
      <c r="H1129" s="57" t="inlineStr"/>
      <c r="I1129" s="139" t="n">
        <v>40127.23</v>
      </c>
      <c r="J1129" s="140" t="n">
        <v>20.52089</v>
      </c>
      <c r="K1129" s="86" t="inlineStr">
        <is>
          <t>PEN</t>
        </is>
      </c>
    </row>
    <row r="1130">
      <c r="A1130" s="84" t="n">
        <v>31009148</v>
      </c>
      <c r="B1130" s="67" t="inlineStr">
        <is>
          <t>TPSU</t>
        </is>
      </c>
      <c r="C1130" s="90" t="inlineStr">
        <is>
          <t>L001</t>
        </is>
      </c>
      <c r="D1130" s="84" t="inlineStr">
        <is>
          <t>ALMACEN 2</t>
        </is>
      </c>
      <c r="E1130" s="80" t="inlineStr">
        <is>
          <t>CABLE 6X24 (12/12) BALL. AF GALV. 3/4"</t>
        </is>
      </c>
      <c r="F1130" s="67" t="inlineStr">
        <is>
          <t>M</t>
        </is>
      </c>
      <c r="G1130" s="84" t="n">
        <v>920</v>
      </c>
      <c r="H1130" s="57" t="inlineStr"/>
      <c r="I1130" s="139" t="n">
        <v>16023.22</v>
      </c>
      <c r="J1130" s="140" t="n">
        <v>20.520895</v>
      </c>
      <c r="K1130" s="86" t="inlineStr">
        <is>
          <t>PEN</t>
        </is>
      </c>
    </row>
    <row r="1131">
      <c r="A1131" s="84" t="n">
        <v>31009149</v>
      </c>
      <c r="B1131" s="67" t="inlineStr">
        <is>
          <t>TPSU</t>
        </is>
      </c>
      <c r="C1131" s="90" t="inlineStr">
        <is>
          <t>L001</t>
        </is>
      </c>
      <c r="D1131" s="84" t="inlineStr">
        <is>
          <t>ALMACEN 2</t>
        </is>
      </c>
      <c r="E1131" s="80" t="inlineStr">
        <is>
          <t>CABLE 6X24 (12/12) BALL. AF GALV. 5/8"</t>
        </is>
      </c>
      <c r="F1131" s="67" t="inlineStr">
        <is>
          <t>M</t>
        </is>
      </c>
      <c r="G1131" s="84" t="n">
        <v>1099</v>
      </c>
      <c r="H1131" s="57" t="inlineStr"/>
      <c r="I1131" s="139" t="n">
        <v>13847.09</v>
      </c>
      <c r="J1131" s="140" t="e">
        <v>#DIV/0!</v>
      </c>
      <c r="K1131" s="86" t="inlineStr">
        <is>
          <t>PEN</t>
        </is>
      </c>
    </row>
    <row r="1132">
      <c r="A1132" s="84" t="n">
        <v>31009150</v>
      </c>
      <c r="B1132" s="67" t="inlineStr">
        <is>
          <t>TPSU</t>
        </is>
      </c>
      <c r="C1132" s="90" t="inlineStr">
        <is>
          <t>L001</t>
        </is>
      </c>
      <c r="D1132" s="84" t="inlineStr">
        <is>
          <t>ALMACEN 2</t>
        </is>
      </c>
      <c r="E1132" s="80" t="inlineStr">
        <is>
          <t>CABLE 6X24 (12/12) BALL. AF GALV. 7/8"</t>
        </is>
      </c>
      <c r="F1132" s="67" t="inlineStr">
        <is>
          <t>M</t>
        </is>
      </c>
      <c r="G1132" s="84" t="n">
        <v>773</v>
      </c>
      <c r="H1132" s="57" t="inlineStr"/>
      <c r="I1132" s="139" t="n">
        <v>12620.03</v>
      </c>
      <c r="J1132" s="140" t="n">
        <v>20.52089</v>
      </c>
      <c r="K1132" s="86" t="inlineStr">
        <is>
          <t>PEN</t>
        </is>
      </c>
    </row>
    <row r="1133">
      <c r="A1133" s="84" t="n">
        <v>32004022</v>
      </c>
      <c r="B1133" s="67" t="inlineStr">
        <is>
          <t>TPSU</t>
        </is>
      </c>
      <c r="C1133" s="90" t="inlineStr">
        <is>
          <t>L001</t>
        </is>
      </c>
      <c r="D1133" s="84" t="inlineStr">
        <is>
          <t>ALMACEN 2</t>
        </is>
      </c>
      <c r="E1133" s="80" t="inlineStr">
        <is>
          <t>COLCHONETA FORRO LONA PLASTIFIC.C/CIERRE</t>
        </is>
      </c>
      <c r="F1133" s="67" t="inlineStr">
        <is>
          <t>UN</t>
        </is>
      </c>
      <c r="G1133" s="84" t="n">
        <v>4</v>
      </c>
      <c r="H1133" s="57" t="inlineStr"/>
      <c r="I1133" s="139" t="n">
        <v>1160</v>
      </c>
      <c r="J1133" s="140" t="e">
        <v>#DIV/0!</v>
      </c>
      <c r="K1133" s="86" t="inlineStr">
        <is>
          <t>PEN</t>
        </is>
      </c>
    </row>
    <row r="1134">
      <c r="A1134" s="84" t="n">
        <v>20000555</v>
      </c>
      <c r="B1134" s="67" t="inlineStr">
        <is>
          <t>TPSU</t>
        </is>
      </c>
      <c r="C1134" s="90" t="inlineStr">
        <is>
          <t>L001</t>
        </is>
      </c>
      <c r="D1134" s="84" t="inlineStr">
        <is>
          <t>ALMACEN 2</t>
        </is>
      </c>
      <c r="E1134" s="80" t="inlineStr">
        <is>
          <t>DRUM FOOD GRADE (TAMBOR G.A.)</t>
        </is>
      </c>
      <c r="F1134" s="67" t="inlineStr">
        <is>
          <t>UN</t>
        </is>
      </c>
      <c r="G1134" s="84" t="n">
        <v>1</v>
      </c>
      <c r="H1134" s="57" t="inlineStr">
        <is>
          <t>S182306152</t>
        </is>
      </c>
      <c r="I1134" s="139" t="n">
        <v>175.82</v>
      </c>
      <c r="J1134" s="140" t="e">
        <v>#DIV/0!</v>
      </c>
      <c r="K1134" s="86" t="inlineStr">
        <is>
          <t>PEN</t>
        </is>
      </c>
    </row>
    <row r="1135">
      <c r="A1135" s="84" t="n">
        <v>30000473</v>
      </c>
      <c r="B1135" s="67" t="inlineStr">
        <is>
          <t>TPSU</t>
        </is>
      </c>
      <c r="C1135" s="90" t="inlineStr">
        <is>
          <t>L001</t>
        </is>
      </c>
      <c r="D1135" s="84" t="inlineStr">
        <is>
          <t>ALMACEN 2</t>
        </is>
      </c>
      <c r="E1135" s="141" t="inlineStr">
        <is>
          <t>GRASA MOBIL M-MOBILUX EP 2 BALDE X 35LB</t>
        </is>
      </c>
      <c r="F1135" s="67" t="inlineStr">
        <is>
          <t>UN</t>
        </is>
      </c>
      <c r="G1135" s="84" t="n">
        <v>4</v>
      </c>
      <c r="H1135" s="57" t="inlineStr">
        <is>
          <t>06383</t>
        </is>
      </c>
      <c r="I1135" s="139" t="n">
        <v>1042.22</v>
      </c>
      <c r="J1135" s="140" t="n">
        <v>250.7159821428571</v>
      </c>
      <c r="K1135" s="86" t="inlineStr">
        <is>
          <t>PEN</t>
        </is>
      </c>
    </row>
    <row r="1136">
      <c r="A1136" s="84" t="n">
        <v>30000473</v>
      </c>
      <c r="B1136" s="67" t="inlineStr">
        <is>
          <t>TPSU</t>
        </is>
      </c>
      <c r="C1136" s="90" t="inlineStr">
        <is>
          <t>L001</t>
        </is>
      </c>
      <c r="D1136" s="84" t="inlineStr">
        <is>
          <t>ALMACEN 2</t>
        </is>
      </c>
      <c r="E1136" s="80" t="inlineStr">
        <is>
          <t>GRASA MOBIL M-MOBILUX EP 2 BALDE X 35LB</t>
        </is>
      </c>
      <c r="F1136" s="67" t="inlineStr">
        <is>
          <t>UN</t>
        </is>
      </c>
      <c r="G1136" s="84" t="n">
        <v>3</v>
      </c>
      <c r="H1136" s="57" t="inlineStr">
        <is>
          <t>06792</t>
        </is>
      </c>
      <c r="I1136" s="139" t="n">
        <v>781.67</v>
      </c>
      <c r="J1136" s="140" t="n">
        <v>15.58185263157895</v>
      </c>
      <c r="K1136" s="86" t="inlineStr">
        <is>
          <t>PEN</t>
        </is>
      </c>
    </row>
    <row r="1137">
      <c r="A1137" s="84" t="n">
        <v>30000474</v>
      </c>
      <c r="B1137" s="67" t="inlineStr">
        <is>
          <t>TPSU</t>
        </is>
      </c>
      <c r="C1137" s="90" t="inlineStr">
        <is>
          <t>L001</t>
        </is>
      </c>
      <c r="D1137" s="84" t="inlineStr">
        <is>
          <t>ALMACEN 2</t>
        </is>
      </c>
      <c r="E1137" s="80" t="inlineStr">
        <is>
          <t>GRASA MOBIL M-MOBILUX EP 3 BALDE 35LB</t>
        </is>
      </c>
      <c r="F1137" s="67" t="inlineStr">
        <is>
          <t>UN</t>
        </is>
      </c>
      <c r="G1137" s="84" t="n">
        <v>3</v>
      </c>
      <c r="H1137" s="57" t="inlineStr">
        <is>
          <t>06670</t>
        </is>
      </c>
      <c r="I1137" s="139" t="n">
        <v>948.05</v>
      </c>
      <c r="J1137" s="140" t="n">
        <v>27.5437</v>
      </c>
      <c r="K1137" s="86" t="inlineStr">
        <is>
          <t>PEN</t>
        </is>
      </c>
    </row>
    <row r="1138">
      <c r="A1138" s="84" t="n">
        <v>30000474</v>
      </c>
      <c r="B1138" s="67" t="inlineStr">
        <is>
          <t>TPSU</t>
        </is>
      </c>
      <c r="C1138" s="90" t="inlineStr">
        <is>
          <t>L001</t>
        </is>
      </c>
      <c r="D1138" s="84" t="inlineStr">
        <is>
          <t>ALMACEN 2</t>
        </is>
      </c>
      <c r="E1138" s="80" t="inlineStr">
        <is>
          <t>GRASA MOBIL M-MOBILUX EP 3 BALDE 35LB</t>
        </is>
      </c>
      <c r="F1138" s="67" t="inlineStr">
        <is>
          <t>UN</t>
        </is>
      </c>
      <c r="G1138" s="84" t="n">
        <v>4</v>
      </c>
      <c r="H1138" s="57" t="inlineStr">
        <is>
          <t>07516</t>
        </is>
      </c>
      <c r="I1138" s="139" t="n">
        <v>1264.06</v>
      </c>
      <c r="J1138" s="140" t="n">
        <v>27.54367469879518</v>
      </c>
      <c r="K1138" s="86" t="inlineStr">
        <is>
          <t>PEN</t>
        </is>
      </c>
    </row>
    <row r="1139">
      <c r="A1139" s="84" t="n">
        <v>30000476</v>
      </c>
      <c r="B1139" s="67" t="inlineStr">
        <is>
          <t>TPSU</t>
        </is>
      </c>
      <c r="C1139" s="90" t="inlineStr">
        <is>
          <t>L001</t>
        </is>
      </c>
      <c r="D1139" s="84" t="inlineStr">
        <is>
          <t>ALMACEN 2</t>
        </is>
      </c>
      <c r="E1139" s="80" t="inlineStr">
        <is>
          <t>GRASA MOBILITH SHC 100 (LBS)</t>
        </is>
      </c>
      <c r="F1139" s="67" t="inlineStr">
        <is>
          <t>LB</t>
        </is>
      </c>
      <c r="G1139" s="84" t="n">
        <v>70</v>
      </c>
      <c r="H1139" s="57" t="inlineStr">
        <is>
          <t>10118C21A</t>
        </is>
      </c>
      <c r="I1139" s="139" t="n">
        <v>1708.04</v>
      </c>
      <c r="J1139" s="140" t="e">
        <v>#DIV/0!</v>
      </c>
      <c r="K1139" s="86" t="inlineStr">
        <is>
          <t>PEN</t>
        </is>
      </c>
    </row>
    <row r="1140">
      <c r="A1140" s="84" t="n">
        <v>30000659</v>
      </c>
      <c r="B1140" s="67" t="inlineStr">
        <is>
          <t>TPSU</t>
        </is>
      </c>
      <c r="C1140" s="90" t="inlineStr">
        <is>
          <t>L001</t>
        </is>
      </c>
      <c r="D1140" s="84" t="inlineStr">
        <is>
          <t>ALMACEN 2</t>
        </is>
      </c>
      <c r="E1140" s="141" t="inlineStr">
        <is>
          <t>GRASA SINTETICA PREMALUBE EXTREM 15.9 KG</t>
        </is>
      </c>
      <c r="F1140" s="67" t="inlineStr">
        <is>
          <t>UN</t>
        </is>
      </c>
      <c r="G1140" s="84" t="n">
        <v>1</v>
      </c>
      <c r="H1140" s="57" t="inlineStr">
        <is>
          <t>12123058</t>
        </is>
      </c>
      <c r="I1140" s="139" t="n">
        <v>1602.36</v>
      </c>
      <c r="J1140" s="140" t="n">
        <v>1.5029</v>
      </c>
      <c r="K1140" s="86" t="inlineStr">
        <is>
          <t>PEN</t>
        </is>
      </c>
    </row>
    <row r="1141">
      <c r="A1141" s="84" t="n">
        <v>31010971</v>
      </c>
      <c r="B1141" s="67" t="inlineStr">
        <is>
          <t>TPSU</t>
        </is>
      </c>
      <c r="C1141" s="90" t="inlineStr">
        <is>
          <t>L001</t>
        </is>
      </c>
      <c r="D1141" s="84" t="inlineStr">
        <is>
          <t>ALMACEN 2</t>
        </is>
      </c>
      <c r="E1141" s="141" t="inlineStr">
        <is>
          <t>HISA 102</t>
        </is>
      </c>
      <c r="F1141" s="67" t="inlineStr">
        <is>
          <t>KG</t>
        </is>
      </c>
      <c r="G1141" s="84" t="n">
        <v>30</v>
      </c>
      <c r="H1141" s="57" t="inlineStr">
        <is>
          <t>208601022</t>
        </is>
      </c>
      <c r="I1141" s="139" t="n">
        <v>576.65</v>
      </c>
      <c r="J1141" s="140" t="n">
        <v>1.5029</v>
      </c>
      <c r="K1141" s="86" t="inlineStr">
        <is>
          <t>PEN</t>
        </is>
      </c>
    </row>
    <row r="1142">
      <c r="A1142" s="84" t="n">
        <v>31010971</v>
      </c>
      <c r="B1142" s="67" t="inlineStr">
        <is>
          <t>TPSU</t>
        </is>
      </c>
      <c r="C1142" s="90" t="inlineStr">
        <is>
          <t>L001</t>
        </is>
      </c>
      <c r="D1142" s="84" t="inlineStr">
        <is>
          <t>ALMACEN 2</t>
        </is>
      </c>
      <c r="E1142" s="141" t="inlineStr">
        <is>
          <t>HISA 102</t>
        </is>
      </c>
      <c r="F1142" s="67" t="inlineStr">
        <is>
          <t>KG</t>
        </is>
      </c>
      <c r="G1142" s="84" t="n">
        <v>120</v>
      </c>
      <c r="H1142" s="57" t="inlineStr">
        <is>
          <t>209931222</t>
        </is>
      </c>
      <c r="I1142" s="139" t="n">
        <v>2306.58</v>
      </c>
      <c r="J1142" s="140" t="n">
        <v>1.502897931654676</v>
      </c>
      <c r="K1142" s="86" t="inlineStr">
        <is>
          <t>PEN</t>
        </is>
      </c>
    </row>
    <row r="1143">
      <c r="A1143" s="84" t="n">
        <v>31010973</v>
      </c>
      <c r="B1143" s="67" t="inlineStr">
        <is>
          <t>TPSU</t>
        </is>
      </c>
      <c r="C1143" s="90" t="inlineStr">
        <is>
          <t>L001</t>
        </is>
      </c>
      <c r="D1143" s="84" t="inlineStr">
        <is>
          <t>ALMACEN 2</t>
        </is>
      </c>
      <c r="E1143" s="80" t="inlineStr">
        <is>
          <t>HISA 109 POLVO</t>
        </is>
      </c>
      <c r="F1143" s="67" t="inlineStr">
        <is>
          <t>KG</t>
        </is>
      </c>
      <c r="G1143" s="84" t="n">
        <v>100</v>
      </c>
      <c r="H1143" s="57" t="inlineStr">
        <is>
          <t>210451222</t>
        </is>
      </c>
      <c r="I1143" s="139" t="n">
        <v>1292.61</v>
      </c>
      <c r="J1143" s="140" t="n">
        <v>1.5029</v>
      </c>
      <c r="K1143" s="86" t="inlineStr">
        <is>
          <t>PEN</t>
        </is>
      </c>
    </row>
    <row r="1144">
      <c r="A1144" s="84" t="n">
        <v>31010973</v>
      </c>
      <c r="B1144" s="67" t="inlineStr">
        <is>
          <t>TPSU</t>
        </is>
      </c>
      <c r="C1144" s="90" t="inlineStr">
        <is>
          <t>L001</t>
        </is>
      </c>
      <c r="D1144" s="84" t="inlineStr">
        <is>
          <t>ALMACEN 2</t>
        </is>
      </c>
      <c r="E1144" s="80" t="inlineStr">
        <is>
          <t>HISA 109 POLVO</t>
        </is>
      </c>
      <c r="F1144" s="67" t="inlineStr">
        <is>
          <t>KG</t>
        </is>
      </c>
      <c r="G1144" s="84" t="n">
        <v>100</v>
      </c>
      <c r="H1144" s="57" t="inlineStr">
        <is>
          <t>211080123</t>
        </is>
      </c>
      <c r="I1144" s="139" t="n">
        <v>1292.61</v>
      </c>
      <c r="J1144" s="140" t="n">
        <v>1.62478125</v>
      </c>
      <c r="K1144" s="86" t="inlineStr">
        <is>
          <t>PEN</t>
        </is>
      </c>
    </row>
    <row r="1145">
      <c r="A1145" s="84" t="n">
        <v>31010973</v>
      </c>
      <c r="B1145" s="67" t="inlineStr">
        <is>
          <t>TPSU</t>
        </is>
      </c>
      <c r="C1145" s="90" t="inlineStr">
        <is>
          <t>L001</t>
        </is>
      </c>
      <c r="D1145" s="84" t="inlineStr">
        <is>
          <t>ALMACEN 2</t>
        </is>
      </c>
      <c r="E1145" s="80" t="inlineStr">
        <is>
          <t>HISA 109 POLVO</t>
        </is>
      </c>
      <c r="F1145" s="67" t="inlineStr">
        <is>
          <t>KG</t>
        </is>
      </c>
      <c r="G1145" s="84" t="n">
        <v>100</v>
      </c>
      <c r="H1145" s="57" t="inlineStr">
        <is>
          <t>213580323</t>
        </is>
      </c>
      <c r="I1145" s="139" t="n">
        <v>1292.61</v>
      </c>
      <c r="J1145" s="140" t="n">
        <v>1.624781767955801</v>
      </c>
      <c r="K1145" s="86" t="inlineStr">
        <is>
          <t>PEN</t>
        </is>
      </c>
    </row>
    <row r="1146">
      <c r="A1146" s="84" t="n">
        <v>31010975</v>
      </c>
      <c r="B1146" s="67" t="inlineStr">
        <is>
          <t>TPSU</t>
        </is>
      </c>
      <c r="C1146" s="90" t="inlineStr">
        <is>
          <t>L001</t>
        </is>
      </c>
      <c r="D1146" s="84" t="inlineStr">
        <is>
          <t>ALMACEN 2</t>
        </is>
      </c>
      <c r="E1146" s="80" t="inlineStr">
        <is>
          <t>HISA 1515</t>
        </is>
      </c>
      <c r="F1146" s="67" t="inlineStr">
        <is>
          <t>KG</t>
        </is>
      </c>
      <c r="G1146" s="84" t="n">
        <v>30</v>
      </c>
      <c r="H1146" s="57" t="inlineStr">
        <is>
          <t>202290522</t>
        </is>
      </c>
      <c r="I1146" s="139" t="n">
        <v>903.42</v>
      </c>
      <c r="J1146" s="140" t="n">
        <v>1.6247814</v>
      </c>
      <c r="K1146" s="86" t="inlineStr">
        <is>
          <t>PEN</t>
        </is>
      </c>
    </row>
    <row r="1147">
      <c r="A1147" s="84" t="n">
        <v>31010975</v>
      </c>
      <c r="B1147" s="67" t="inlineStr">
        <is>
          <t>TPSU</t>
        </is>
      </c>
      <c r="C1147" s="90" t="inlineStr">
        <is>
          <t>L001</t>
        </is>
      </c>
      <c r="D1147" s="84" t="inlineStr">
        <is>
          <t>ALMACEN 2</t>
        </is>
      </c>
      <c r="E1147" s="80" t="inlineStr">
        <is>
          <t>HISA 1515</t>
        </is>
      </c>
      <c r="F1147" s="67" t="inlineStr">
        <is>
          <t>KG</t>
        </is>
      </c>
      <c r="G1147" s="84" t="n">
        <v>60</v>
      </c>
      <c r="H1147" s="57" t="inlineStr">
        <is>
          <t>208081022</t>
        </is>
      </c>
      <c r="I1147" s="139" t="n">
        <v>1806.83</v>
      </c>
      <c r="J1147" s="140" t="n">
        <v>1.386596534653465</v>
      </c>
      <c r="K1147" s="86" t="inlineStr">
        <is>
          <t>PEN</t>
        </is>
      </c>
    </row>
    <row r="1148">
      <c r="A1148" s="84" t="n">
        <v>31010975</v>
      </c>
      <c r="B1148" s="82" t="inlineStr">
        <is>
          <t>TPSU</t>
        </is>
      </c>
      <c r="C1148" s="82" t="inlineStr">
        <is>
          <t>L001</t>
        </is>
      </c>
      <c r="D1148" s="84" t="inlineStr">
        <is>
          <t>ALMACEN 2</t>
        </is>
      </c>
      <c r="E1148" s="80" t="inlineStr">
        <is>
          <t>HISA 1515</t>
        </is>
      </c>
      <c r="F1148" s="67" t="inlineStr">
        <is>
          <t>KG</t>
        </is>
      </c>
      <c r="G1148" s="84" t="n">
        <v>120</v>
      </c>
      <c r="H1148" s="57" t="inlineStr">
        <is>
          <t>210001222</t>
        </is>
      </c>
      <c r="I1148" s="139" t="n">
        <v>3613.66</v>
      </c>
      <c r="J1148" s="140" t="n">
        <v>2.400215053763441</v>
      </c>
      <c r="K1148" s="86" t="inlineStr">
        <is>
          <t>PEN</t>
        </is>
      </c>
    </row>
    <row r="1149">
      <c r="A1149" s="84" t="n">
        <v>31010977</v>
      </c>
      <c r="B1149" s="82" t="inlineStr">
        <is>
          <t>TPSU</t>
        </is>
      </c>
      <c r="C1149" s="82" t="inlineStr">
        <is>
          <t>L001</t>
        </is>
      </c>
      <c r="D1149" s="84" t="inlineStr">
        <is>
          <t>ALMACEN 2</t>
        </is>
      </c>
      <c r="E1149" s="80" t="inlineStr">
        <is>
          <t>HISA 282</t>
        </is>
      </c>
      <c r="F1149" s="67" t="inlineStr">
        <is>
          <t>KG</t>
        </is>
      </c>
      <c r="G1149" s="84" t="n">
        <v>30</v>
      </c>
      <c r="H1149" s="57" t="inlineStr">
        <is>
          <t>204080622</t>
        </is>
      </c>
      <c r="I1149" s="139" t="n">
        <v>707.84</v>
      </c>
      <c r="J1149" s="140" t="n">
        <v>13.8</v>
      </c>
      <c r="K1149" s="86" t="inlineStr">
        <is>
          <t>PEN</t>
        </is>
      </c>
    </row>
    <row r="1150">
      <c r="A1150" s="84" t="n">
        <v>31010977</v>
      </c>
      <c r="B1150" s="82" t="inlineStr">
        <is>
          <t>TPSU</t>
        </is>
      </c>
      <c r="C1150" s="82" t="inlineStr">
        <is>
          <t>L001</t>
        </is>
      </c>
      <c r="D1150" s="84" t="inlineStr">
        <is>
          <t>ALMACEN 2</t>
        </is>
      </c>
      <c r="E1150" s="80" t="inlineStr">
        <is>
          <t>HISA 282</t>
        </is>
      </c>
      <c r="F1150" s="67" t="inlineStr">
        <is>
          <t>KG</t>
        </is>
      </c>
      <c r="G1150" s="84" t="n">
        <v>30</v>
      </c>
      <c r="H1150" s="57" t="inlineStr">
        <is>
          <t>210521222</t>
        </is>
      </c>
      <c r="I1150" s="139" t="n">
        <v>707.84</v>
      </c>
      <c r="J1150" s="140" t="n">
        <v>1.628406666666667</v>
      </c>
      <c r="K1150" s="86" t="inlineStr">
        <is>
          <t>PEN</t>
        </is>
      </c>
    </row>
    <row r="1151">
      <c r="A1151" s="84" t="n">
        <v>31010981</v>
      </c>
      <c r="B1151" s="82" t="inlineStr">
        <is>
          <t>TPSU</t>
        </is>
      </c>
      <c r="C1151" s="82" t="inlineStr">
        <is>
          <t>L001</t>
        </is>
      </c>
      <c r="D1151" s="84" t="inlineStr">
        <is>
          <t>ALMACEN 2</t>
        </is>
      </c>
      <c r="E1151" s="80" t="inlineStr">
        <is>
          <t>HISA 504</t>
        </is>
      </c>
      <c r="F1151" s="67" t="inlineStr">
        <is>
          <t>KG</t>
        </is>
      </c>
      <c r="G1151" s="84" t="n">
        <v>35</v>
      </c>
      <c r="H1151" s="57" t="inlineStr">
        <is>
          <t>203860622</t>
        </is>
      </c>
      <c r="I1151" s="139" t="n">
        <v>425.5</v>
      </c>
      <c r="J1151" s="140" t="n">
        <v>300.575</v>
      </c>
      <c r="K1151" s="86" t="inlineStr">
        <is>
          <t>PEN</t>
        </is>
      </c>
    </row>
    <row r="1152">
      <c r="A1152" s="84" t="n">
        <v>31010981</v>
      </c>
      <c r="B1152" s="82" t="inlineStr">
        <is>
          <t>TPSU</t>
        </is>
      </c>
      <c r="C1152" s="82" t="inlineStr">
        <is>
          <t>L001</t>
        </is>
      </c>
      <c r="D1152" s="84" t="inlineStr">
        <is>
          <t>ALMACEN 2</t>
        </is>
      </c>
      <c r="E1152" s="80" t="inlineStr">
        <is>
          <t>HISA 504</t>
        </is>
      </c>
      <c r="F1152" s="67" t="inlineStr">
        <is>
          <t>KG</t>
        </is>
      </c>
      <c r="G1152" s="84" t="n">
        <v>70</v>
      </c>
      <c r="H1152" s="57" t="inlineStr">
        <is>
          <t>204000622</t>
        </is>
      </c>
      <c r="I1152" s="139" t="n">
        <v>850.99</v>
      </c>
      <c r="J1152" s="140" t="n">
        <v>5.0675</v>
      </c>
      <c r="K1152" s="86" t="inlineStr">
        <is>
          <t>PEN</t>
        </is>
      </c>
    </row>
    <row r="1153">
      <c r="A1153" s="84" t="n">
        <v>31010981</v>
      </c>
      <c r="B1153" s="67" t="inlineStr">
        <is>
          <t>TPSU</t>
        </is>
      </c>
      <c r="C1153" s="90" t="inlineStr">
        <is>
          <t>L001</t>
        </is>
      </c>
      <c r="D1153" s="84" t="inlineStr">
        <is>
          <t>ALMACEN 2</t>
        </is>
      </c>
      <c r="E1153" s="80" t="inlineStr">
        <is>
          <t>HISA 504</t>
        </is>
      </c>
      <c r="F1153" s="67" t="inlineStr">
        <is>
          <t>KG</t>
        </is>
      </c>
      <c r="G1153" s="84" t="n">
        <v>840</v>
      </c>
      <c r="H1153" s="57" t="inlineStr">
        <is>
          <t>204960722</t>
        </is>
      </c>
      <c r="I1153" s="139" t="n">
        <v>10211.9</v>
      </c>
      <c r="J1153" s="140" t="n">
        <v>12390.94</v>
      </c>
      <c r="K1153" s="86" t="inlineStr">
        <is>
          <t>PEN</t>
        </is>
      </c>
    </row>
    <row r="1154">
      <c r="A1154" s="84" t="n">
        <v>31010981</v>
      </c>
      <c r="B1154" s="67" t="inlineStr">
        <is>
          <t>TPSU</t>
        </is>
      </c>
      <c r="C1154" s="90" t="inlineStr">
        <is>
          <t>L001</t>
        </is>
      </c>
      <c r="D1154" s="84" t="inlineStr">
        <is>
          <t>ALMACEN 2</t>
        </is>
      </c>
      <c r="E1154" s="80" t="inlineStr">
        <is>
          <t>HISA 504</t>
        </is>
      </c>
      <c r="F1154" s="67" t="inlineStr">
        <is>
          <t>KG</t>
        </is>
      </c>
      <c r="G1154" s="84" t="n">
        <v>70</v>
      </c>
      <c r="H1154" s="57" t="inlineStr">
        <is>
          <t>208711022</t>
        </is>
      </c>
      <c r="I1154" s="139" t="n">
        <v>850.99</v>
      </c>
      <c r="J1154" s="140" t="n">
        <v>461.145</v>
      </c>
      <c r="K1154" s="86" t="inlineStr">
        <is>
          <t>PEN</t>
        </is>
      </c>
    </row>
    <row r="1155">
      <c r="A1155" s="84" t="n">
        <v>31010981</v>
      </c>
      <c r="B1155" s="67" t="inlineStr">
        <is>
          <t>TPSU</t>
        </is>
      </c>
      <c r="C1155" s="90" t="inlineStr">
        <is>
          <t>L001</t>
        </is>
      </c>
      <c r="D1155" s="84" t="inlineStr">
        <is>
          <t>ALMACEN 2</t>
        </is>
      </c>
      <c r="E1155" s="80" t="inlineStr">
        <is>
          <t>HISA 504</t>
        </is>
      </c>
      <c r="F1155" s="67" t="inlineStr">
        <is>
          <t>KG</t>
        </is>
      </c>
      <c r="G1155" s="84" t="n">
        <v>105</v>
      </c>
      <c r="H1155" s="57" t="inlineStr">
        <is>
          <t>209571122</t>
        </is>
      </c>
      <c r="I1155" s="139" t="n">
        <v>1276.49</v>
      </c>
      <c r="J1155" s="140" t="n">
        <v>782.0549999999999</v>
      </c>
      <c r="K1155" s="86" t="inlineStr">
        <is>
          <t>PEN</t>
        </is>
      </c>
    </row>
    <row r="1156">
      <c r="A1156" s="84" t="n">
        <v>31010981</v>
      </c>
      <c r="B1156" s="67" t="inlineStr">
        <is>
          <t>TPSU</t>
        </is>
      </c>
      <c r="C1156" s="90" t="inlineStr">
        <is>
          <t>L001</t>
        </is>
      </c>
      <c r="D1156" s="84" t="inlineStr">
        <is>
          <t>ALMACEN 2</t>
        </is>
      </c>
      <c r="E1156" s="80" t="inlineStr">
        <is>
          <t>HISA 504</t>
        </is>
      </c>
      <c r="F1156" s="67" t="inlineStr">
        <is>
          <t>KG</t>
        </is>
      </c>
      <c r="G1156" s="84" t="n">
        <v>490</v>
      </c>
      <c r="H1156" s="57" t="inlineStr">
        <is>
          <t>210101222</t>
        </is>
      </c>
      <c r="I1156" s="139" t="n">
        <v>5956.94</v>
      </c>
      <c r="J1156" s="140" t="n">
        <v>1068.79</v>
      </c>
      <c r="K1156" s="86" t="inlineStr">
        <is>
          <t>PEN</t>
        </is>
      </c>
    </row>
    <row r="1157">
      <c r="A1157" s="84" t="n">
        <v>30000527</v>
      </c>
      <c r="B1157" s="67" t="inlineStr">
        <is>
          <t>TPSU</t>
        </is>
      </c>
      <c r="C1157" s="90" t="inlineStr">
        <is>
          <t>L005</t>
        </is>
      </c>
      <c r="D1157" s="84" t="inlineStr">
        <is>
          <t>ALMACEN 2</t>
        </is>
      </c>
      <c r="E1157" s="80" t="inlineStr">
        <is>
          <t>PETROLEO DIESEL B5 S50 PD - TASA</t>
        </is>
      </c>
      <c r="F1157" s="67" t="inlineStr">
        <is>
          <t>GLN</t>
        </is>
      </c>
      <c r="G1157" s="84" t="n">
        <v>175</v>
      </c>
      <c r="H1157" s="57" t="inlineStr"/>
      <c r="I1157" s="139" t="n">
        <v>2719.4</v>
      </c>
      <c r="J1157" s="140" t="n">
        <v>647.46</v>
      </c>
      <c r="K1157" s="86" t="inlineStr">
        <is>
          <t>PEN</t>
        </is>
      </c>
    </row>
    <row r="1158">
      <c r="A1158" s="84" t="n">
        <v>31013602</v>
      </c>
      <c r="B1158" s="67" t="inlineStr">
        <is>
          <t>TPSU</t>
        </is>
      </c>
      <c r="C1158" s="90" t="inlineStr">
        <is>
          <t>L001</t>
        </is>
      </c>
      <c r="D1158" s="84" t="inlineStr">
        <is>
          <t>ALMACEN 2</t>
        </is>
      </c>
      <c r="E1158" s="80" t="inlineStr">
        <is>
          <t>RED NY TO CN 210/30 X 9/16" 360 MA</t>
        </is>
      </c>
      <c r="F1158" s="67" t="inlineStr">
        <is>
          <t>KG</t>
        </is>
      </c>
      <c r="G1158" s="84" t="n">
        <v>559</v>
      </c>
      <c r="H1158" s="57" t="inlineStr"/>
      <c r="I1158" s="139" t="n">
        <v>18721.85</v>
      </c>
      <c r="J1158" s="140" t="n">
        <v>2439.55</v>
      </c>
      <c r="K1158" s="86" t="inlineStr">
        <is>
          <t>PEN</t>
        </is>
      </c>
    </row>
    <row r="1159">
      <c r="A1159" s="84" t="n">
        <v>10200075</v>
      </c>
      <c r="B1159" s="67" t="inlineStr">
        <is>
          <t>TPSU</t>
        </is>
      </c>
      <c r="C1159" s="90" t="inlineStr">
        <is>
          <t>L001</t>
        </is>
      </c>
      <c r="D1159" s="84" t="inlineStr">
        <is>
          <t>ALMACEN 2</t>
        </is>
      </c>
      <c r="E1159" s="80" t="inlineStr">
        <is>
          <t>SAL INDUSTRIAL MOLIDA X 25 KG - 98.6%</t>
        </is>
      </c>
      <c r="F1159" s="67" t="inlineStr">
        <is>
          <t>KG</t>
        </is>
      </c>
      <c r="G1159" s="84" t="n">
        <v>1500</v>
      </c>
      <c r="H1159" s="57" t="inlineStr">
        <is>
          <t>HSIM021222</t>
        </is>
      </c>
      <c r="I1159" s="139" t="n">
        <v>883.3</v>
      </c>
      <c r="J1159" s="140" t="n">
        <v>2512.54</v>
      </c>
      <c r="K1159" s="86" t="inlineStr">
        <is>
          <t>PEN</t>
        </is>
      </c>
    </row>
    <row r="1160">
      <c r="A1160" s="84" t="n">
        <v>10200075</v>
      </c>
      <c r="B1160" s="67" t="inlineStr">
        <is>
          <t>TPSU</t>
        </is>
      </c>
      <c r="C1160" s="90" t="inlineStr">
        <is>
          <t>L001</t>
        </is>
      </c>
      <c r="D1160" s="84" t="inlineStr">
        <is>
          <t>ALMACEN 2</t>
        </is>
      </c>
      <c r="E1160" s="80" t="inlineStr">
        <is>
          <t>SAL INDUSTRIAL MOLIDA X 25 KG - 98.6%</t>
        </is>
      </c>
      <c r="F1160" s="67" t="inlineStr">
        <is>
          <t>KG</t>
        </is>
      </c>
      <c r="G1160" s="84" t="n">
        <v>2075</v>
      </c>
      <c r="H1160" s="57" t="inlineStr">
        <is>
          <t>HSIM170323</t>
        </is>
      </c>
      <c r="I1160" s="139" t="n">
        <v>1221.89</v>
      </c>
      <c r="J1160" s="140" t="n">
        <v>364.525</v>
      </c>
      <c r="K1160" s="86" t="inlineStr">
        <is>
          <t>PEN</t>
        </is>
      </c>
    </row>
    <row r="1161">
      <c r="A1161" s="84" t="n">
        <v>10200082</v>
      </c>
      <c r="B1161" s="67" t="inlineStr">
        <is>
          <t>TPSU</t>
        </is>
      </c>
      <c r="C1161" s="90" t="inlineStr">
        <is>
          <t>L001</t>
        </is>
      </c>
      <c r="D1161" s="84" t="inlineStr">
        <is>
          <t>ALMACEN 2</t>
        </is>
      </c>
      <c r="E1161" s="80" t="inlineStr">
        <is>
          <t>SUPERFLOC 130 V</t>
        </is>
      </c>
      <c r="F1161" s="67" t="inlineStr">
        <is>
          <t>KG</t>
        </is>
      </c>
      <c r="G1161" s="84" t="n">
        <v>1000</v>
      </c>
      <c r="H1161" s="57" t="inlineStr">
        <is>
          <t>9922AP4068</t>
        </is>
      </c>
      <c r="I1161" s="139" t="n">
        <v>20520.89</v>
      </c>
      <c r="J1161" s="140" t="n">
        <v>328.76</v>
      </c>
      <c r="K1161" s="86" t="inlineStr">
        <is>
          <t>PEN</t>
        </is>
      </c>
    </row>
    <row r="1162">
      <c r="A1162" s="84" t="n">
        <v>10200082</v>
      </c>
      <c r="B1162" s="67" t="inlineStr">
        <is>
          <t>TPSU</t>
        </is>
      </c>
      <c r="C1162" s="90" t="inlineStr">
        <is>
          <t>L001</t>
        </is>
      </c>
      <c r="D1162" s="84" t="inlineStr">
        <is>
          <t>ALMACEN 2</t>
        </is>
      </c>
      <c r="E1162" s="80" t="inlineStr">
        <is>
          <t>SUPERFLOC 130 V</t>
        </is>
      </c>
      <c r="F1162" s="67" t="inlineStr">
        <is>
          <t>KG</t>
        </is>
      </c>
      <c r="G1162" s="84" t="n">
        <v>2000</v>
      </c>
      <c r="H1162" s="57" t="inlineStr">
        <is>
          <t>9922CT5228</t>
        </is>
      </c>
      <c r="I1162" s="139" t="n">
        <v>41041.79</v>
      </c>
      <c r="J1162" s="140" t="n">
        <v>690.37</v>
      </c>
      <c r="K1162" s="86" t="inlineStr">
        <is>
          <t>PEN</t>
        </is>
      </c>
    </row>
    <row r="1163">
      <c r="A1163" s="84" t="n">
        <v>10200082</v>
      </c>
      <c r="B1163" s="84" t="inlineStr">
        <is>
          <t>TPSU</t>
        </is>
      </c>
      <c r="C1163" s="91" t="inlineStr">
        <is>
          <t>L001</t>
        </is>
      </c>
      <c r="D1163" s="84" t="inlineStr">
        <is>
          <t>ALMACEN 2</t>
        </is>
      </c>
      <c r="E1163" s="80" t="inlineStr">
        <is>
          <t>SUPERFLOC 130 V</t>
        </is>
      </c>
      <c r="F1163" s="67" t="inlineStr">
        <is>
          <t>KG</t>
        </is>
      </c>
      <c r="G1163" s="84" t="n">
        <v>0</v>
      </c>
      <c r="H1163" s="84" t="inlineStr">
        <is>
          <t>9922CT5230</t>
        </is>
      </c>
      <c r="I1163" s="139" t="n">
        <v>0</v>
      </c>
      <c r="J1163" s="140" t="n">
        <v>426.46</v>
      </c>
      <c r="K1163" s="86" t="inlineStr">
        <is>
          <t>PEN</t>
        </is>
      </c>
    </row>
    <row r="1164">
      <c r="A1164" s="84" t="n">
        <v>10200082</v>
      </c>
      <c r="B1164" s="67" t="inlineStr">
        <is>
          <t>TPSU</t>
        </is>
      </c>
      <c r="C1164" s="90" t="inlineStr">
        <is>
          <t>L001</t>
        </is>
      </c>
      <c r="D1164" s="84" t="inlineStr">
        <is>
          <t>ALMACEN 2</t>
        </is>
      </c>
      <c r="E1164" s="80" t="inlineStr">
        <is>
          <t>SUPERFLOC 130 V</t>
        </is>
      </c>
      <c r="F1164" s="67" t="inlineStr">
        <is>
          <t>KG</t>
        </is>
      </c>
      <c r="G1164" s="84" t="n">
        <v>1000</v>
      </c>
      <c r="H1164" s="57" t="inlineStr">
        <is>
          <t>9922MR5481</t>
        </is>
      </c>
      <c r="I1164" s="139" t="n">
        <v>20520.89</v>
      </c>
      <c r="J1164" s="140" t="n">
        <v>843.9</v>
      </c>
      <c r="K1164" s="86" t="inlineStr">
        <is>
          <t>PEN</t>
        </is>
      </c>
    </row>
    <row r="1165">
      <c r="A1165" s="84" t="n">
        <v>10200082</v>
      </c>
      <c r="B1165" s="84" t="inlineStr">
        <is>
          <t>TPSU</t>
        </is>
      </c>
      <c r="C1165" s="91" t="inlineStr">
        <is>
          <t>L001</t>
        </is>
      </c>
      <c r="D1165" s="84" t="inlineStr">
        <is>
          <t>ALMACEN 2</t>
        </is>
      </c>
      <c r="E1165" s="80" t="inlineStr">
        <is>
          <t>SUPERFLOC 130 V</t>
        </is>
      </c>
      <c r="F1165" s="67" t="inlineStr">
        <is>
          <t>KG</t>
        </is>
      </c>
      <c r="G1165" s="84" t="n">
        <v>0</v>
      </c>
      <c r="H1165" s="84" t="inlineStr">
        <is>
          <t>9923FE4274</t>
        </is>
      </c>
      <c r="I1165" s="139" t="n">
        <v>0</v>
      </c>
      <c r="J1165" s="140" t="n">
        <v>500.4</v>
      </c>
      <c r="K1165" s="86" t="inlineStr">
        <is>
          <t>PEN</t>
        </is>
      </c>
    </row>
    <row r="1166">
      <c r="A1166" s="84" t="n">
        <v>10200082</v>
      </c>
      <c r="B1166" s="84" t="inlineStr">
        <is>
          <t>TPSU</t>
        </is>
      </c>
      <c r="C1166" s="91" t="inlineStr">
        <is>
          <t>L001</t>
        </is>
      </c>
      <c r="D1166" s="84" t="inlineStr">
        <is>
          <t>ALMACEN 2</t>
        </is>
      </c>
      <c r="E1166" s="80" t="inlineStr">
        <is>
          <t>SUPERFLOC 130 V</t>
        </is>
      </c>
      <c r="F1166" s="67" t="inlineStr">
        <is>
          <t>KG</t>
        </is>
      </c>
      <c r="G1166" s="84" t="n">
        <v>0</v>
      </c>
      <c r="H1166" s="84" t="inlineStr">
        <is>
          <t>9923FE4282</t>
        </is>
      </c>
      <c r="I1166" s="139" t="n">
        <v>0</v>
      </c>
      <c r="J1166" s="140" t="n">
        <v>569.17</v>
      </c>
      <c r="K1166" s="86" t="inlineStr">
        <is>
          <t>PEN</t>
        </is>
      </c>
    </row>
    <row r="1167">
      <c r="A1167" s="84" t="n">
        <v>31009238</v>
      </c>
      <c r="B1167" s="67" t="inlineStr">
        <is>
          <t>TPSU</t>
        </is>
      </c>
      <c r="C1167" s="90" t="inlineStr">
        <is>
          <t>L001</t>
        </is>
      </c>
      <c r="D1167" s="84" t="inlineStr">
        <is>
          <t>ALMACEN 3</t>
        </is>
      </c>
      <c r="E1167" s="80" t="inlineStr">
        <is>
          <t>CANAL U 6"X2"X10.5 LB/PIEX20' AC.</t>
        </is>
      </c>
      <c r="F1167" s="67" t="inlineStr">
        <is>
          <t>UN</t>
        </is>
      </c>
      <c r="G1167" s="84" t="n">
        <v>112</v>
      </c>
      <c r="H1167" s="57" t="inlineStr"/>
      <c r="I1167" s="139" t="n">
        <v>28080.19</v>
      </c>
      <c r="J1167" s="140" t="n">
        <v>504.4</v>
      </c>
      <c r="K1167" s="86" t="inlineStr">
        <is>
          <t>PEN</t>
        </is>
      </c>
    </row>
    <row r="1168">
      <c r="A1168" s="84" t="n">
        <v>20000560</v>
      </c>
      <c r="B1168" s="67" t="inlineStr">
        <is>
          <t>TPSU</t>
        </is>
      </c>
      <c r="C1168" s="90" t="inlineStr">
        <is>
          <t>L001</t>
        </is>
      </c>
      <c r="D1168" s="84" t="inlineStr">
        <is>
          <t>ALMAC-SACO</t>
        </is>
      </c>
      <c r="E1168" s="80" t="inlineStr">
        <is>
          <t>ESLINGA RETORNABLE 2000 KG 160 X 160 NAC</t>
        </is>
      </c>
      <c r="F1168" s="67" t="inlineStr">
        <is>
          <t>UN</t>
        </is>
      </c>
      <c r="G1168" s="84" t="n">
        <v>3325</v>
      </c>
      <c r="H1168" s="57" t="inlineStr"/>
      <c r="I1168" s="139" t="n">
        <v>51809.66</v>
      </c>
      <c r="J1168" s="140" t="n">
        <v>521.25</v>
      </c>
      <c r="K1168" s="86" t="inlineStr">
        <is>
          <t>PEN</t>
        </is>
      </c>
    </row>
    <row r="1169">
      <c r="A1169" s="84" t="n">
        <v>20000579</v>
      </c>
      <c r="B1169" s="67" t="inlineStr">
        <is>
          <t>TPSU</t>
        </is>
      </c>
      <c r="C1169" s="90" t="inlineStr">
        <is>
          <t>L001</t>
        </is>
      </c>
      <c r="D1169" s="84" t="inlineStr">
        <is>
          <t>ALMAC-SACO</t>
        </is>
      </c>
      <c r="E1169" s="80" t="inlineStr">
        <is>
          <t>HILO - POLIESTER VERDE P/COSER SC</t>
        </is>
      </c>
      <c r="F1169" s="67" t="inlineStr">
        <is>
          <t>KG</t>
        </is>
      </c>
      <c r="G1169" s="84" t="n">
        <v>100</v>
      </c>
      <c r="H1169" s="57" t="inlineStr">
        <is>
          <t>L062020013</t>
        </is>
      </c>
      <c r="I1169" s="139" t="n">
        <v>2754.37</v>
      </c>
      <c r="J1169" s="140" t="n">
        <v>1205</v>
      </c>
      <c r="K1169" s="86" t="inlineStr">
        <is>
          <t>PEN</t>
        </is>
      </c>
    </row>
    <row r="1170">
      <c r="A1170" s="84" t="n">
        <v>20000579</v>
      </c>
      <c r="B1170" s="67" t="inlineStr">
        <is>
          <t>TPSU</t>
        </is>
      </c>
      <c r="C1170" s="90" t="inlineStr">
        <is>
          <t>L001</t>
        </is>
      </c>
      <c r="D1170" s="84" t="inlineStr">
        <is>
          <t>ALMAC-SACO</t>
        </is>
      </c>
      <c r="E1170" s="80" t="inlineStr">
        <is>
          <t>HILO - POLIESTER VERDE P/COSER SC</t>
        </is>
      </c>
      <c r="F1170" s="67" t="inlineStr">
        <is>
          <t>KG</t>
        </is>
      </c>
      <c r="G1170" s="84" t="n">
        <v>33.2</v>
      </c>
      <c r="H1170" s="57" t="inlineStr">
        <is>
          <t>LTSEMARK22</t>
        </is>
      </c>
      <c r="I1170" s="139" t="n">
        <v>914.45</v>
      </c>
      <c r="J1170" s="140" t="n">
        <v>837.9400000000001</v>
      </c>
      <c r="K1170" s="86" t="inlineStr">
        <is>
          <t>PEN</t>
        </is>
      </c>
    </row>
    <row r="1171">
      <c r="A1171" s="84" t="n">
        <v>20001579</v>
      </c>
      <c r="B1171" s="84" t="inlineStr">
        <is>
          <t>TPSU</t>
        </is>
      </c>
      <c r="C1171" s="91" t="inlineStr">
        <is>
          <t>L001</t>
        </is>
      </c>
      <c r="D1171" s="84" t="inlineStr">
        <is>
          <t>ALMAC-SACO</t>
        </is>
      </c>
      <c r="E1171" s="80" t="inlineStr">
        <is>
          <t>SACO HP LAM BLANCO C/LOGO 71 X 105CM</t>
        </is>
      </c>
      <c r="F1171" s="67" t="inlineStr">
        <is>
          <t>UN</t>
        </is>
      </c>
      <c r="G1171" s="84" t="n">
        <v>0</v>
      </c>
      <c r="H1171" s="84" t="inlineStr">
        <is>
          <t>10.03.2023</t>
        </is>
      </c>
      <c r="I1171" s="139" t="n">
        <v>0</v>
      </c>
      <c r="J1171" s="140" t="n">
        <v>1680.19</v>
      </c>
      <c r="K1171" s="86" t="inlineStr">
        <is>
          <t>PEN</t>
        </is>
      </c>
    </row>
    <row r="1172">
      <c r="A1172" s="84" t="n">
        <v>20001668</v>
      </c>
      <c r="B1172" s="67" t="inlineStr">
        <is>
          <t>TPSU</t>
        </is>
      </c>
      <c r="C1172" s="90" t="inlineStr">
        <is>
          <t>L001</t>
        </is>
      </c>
      <c r="D1172" s="84" t="inlineStr">
        <is>
          <t>ALMAC-SACO</t>
        </is>
      </c>
      <c r="E1172" s="80" t="inlineStr">
        <is>
          <t>SACO HP LAM NEGRO S/LOGO 71X105CM</t>
        </is>
      </c>
      <c r="F1172" s="67" t="inlineStr">
        <is>
          <t>UN</t>
        </is>
      </c>
      <c r="G1172" s="84" t="n">
        <v>1500</v>
      </c>
      <c r="H1172" s="57" t="inlineStr">
        <is>
          <t>OPR-020104</t>
        </is>
      </c>
      <c r="I1172" s="139" t="n">
        <v>2254.35</v>
      </c>
      <c r="J1172" s="140" t="n">
        <v>2842.46</v>
      </c>
      <c r="K1172" s="86" t="inlineStr">
        <is>
          <t>PEN</t>
        </is>
      </c>
    </row>
    <row r="1173">
      <c r="A1173" s="84" t="n">
        <v>20001668</v>
      </c>
      <c r="B1173" s="67" t="inlineStr">
        <is>
          <t>TPSU</t>
        </is>
      </c>
      <c r="C1173" s="90" t="inlineStr">
        <is>
          <t>L001</t>
        </is>
      </c>
      <c r="D1173" s="84" t="inlineStr">
        <is>
          <t>ALMAC-SACO</t>
        </is>
      </c>
      <c r="E1173" s="80" t="inlineStr">
        <is>
          <t>SACO HP LAM NEGRO S/LOGO 71X105CM</t>
        </is>
      </c>
      <c r="F1173" s="67" t="inlineStr">
        <is>
          <t>UN</t>
        </is>
      </c>
      <c r="G1173" s="84" t="n">
        <v>500</v>
      </c>
      <c r="H1173" s="57" t="inlineStr">
        <is>
          <t>OPR-020974</t>
        </is>
      </c>
      <c r="I1173" s="139" t="n">
        <v>751.45</v>
      </c>
      <c r="J1173" s="140" t="n">
        <v>117.5875</v>
      </c>
      <c r="K1173" s="86" t="inlineStr">
        <is>
          <t>PEN</t>
        </is>
      </c>
    </row>
    <row r="1174">
      <c r="A1174" s="84" t="n">
        <v>20001668</v>
      </c>
      <c r="B1174" s="67" t="inlineStr">
        <is>
          <t>TPSU</t>
        </is>
      </c>
      <c r="C1174" s="90" t="inlineStr">
        <is>
          <t>L001</t>
        </is>
      </c>
      <c r="D1174" s="84" t="inlineStr">
        <is>
          <t>ALMAC-SACO</t>
        </is>
      </c>
      <c r="E1174" s="80" t="inlineStr">
        <is>
          <t>SACO HP LAM NEGRO S/LOGO 71X105CM</t>
        </is>
      </c>
      <c r="F1174" s="67" t="inlineStr">
        <is>
          <t>UN</t>
        </is>
      </c>
      <c r="G1174" s="84" t="n">
        <v>4448</v>
      </c>
      <c r="H1174" s="57" t="inlineStr">
        <is>
          <t>OPR-021009</t>
        </is>
      </c>
      <c r="I1174" s="139" t="n">
        <v>6684.89</v>
      </c>
      <c r="J1174" s="140" t="n">
        <v>3.12</v>
      </c>
      <c r="K1174" s="86" t="inlineStr">
        <is>
          <t>PEN</t>
        </is>
      </c>
    </row>
    <row r="1175">
      <c r="A1175" s="84" t="n">
        <v>20001668</v>
      </c>
      <c r="B1175" s="67" t="inlineStr">
        <is>
          <t>TPSU</t>
        </is>
      </c>
      <c r="C1175" s="90" t="inlineStr">
        <is>
          <t>L001</t>
        </is>
      </c>
      <c r="D1175" s="84" t="inlineStr">
        <is>
          <t>ALMAC-SACO</t>
        </is>
      </c>
      <c r="E1175" s="80" t="inlineStr">
        <is>
          <t>SACO HP LAM NEGRO S/LOGO 71X105CM</t>
        </is>
      </c>
      <c r="F1175" s="67" t="inlineStr">
        <is>
          <t>UN</t>
        </is>
      </c>
      <c r="G1175" s="84" t="n">
        <v>1000</v>
      </c>
      <c r="H1175" s="57" t="inlineStr">
        <is>
          <t>OPR-021027</t>
        </is>
      </c>
      <c r="I1175" s="139" t="n">
        <v>1502.9</v>
      </c>
      <c r="J1175" s="140" t="n">
        <v>169.235</v>
      </c>
      <c r="K1175" s="86" t="inlineStr">
        <is>
          <t>PEN</t>
        </is>
      </c>
    </row>
    <row r="1176">
      <c r="A1176" s="84" t="n">
        <v>20001580</v>
      </c>
      <c r="B1176" s="67" t="inlineStr">
        <is>
          <t>TPSU</t>
        </is>
      </c>
      <c r="C1176" s="90" t="inlineStr">
        <is>
          <t>L001</t>
        </is>
      </c>
      <c r="D1176" s="84" t="inlineStr">
        <is>
          <t>ALMAC-SACO</t>
        </is>
      </c>
      <c r="E1176" s="80" t="inlineStr">
        <is>
          <t>SACO HP TERM BLANCO C/LOGO 71 X 105CM</t>
        </is>
      </c>
      <c r="F1176" s="67" t="inlineStr">
        <is>
          <t>UN</t>
        </is>
      </c>
      <c r="G1176" s="84" t="n">
        <v>40000</v>
      </c>
      <c r="H1176" s="57" t="inlineStr">
        <is>
          <t>20098-2022</t>
        </is>
      </c>
      <c r="I1176" s="139" t="n">
        <v>64991.25</v>
      </c>
      <c r="J1176" s="140" t="n">
        <v>798.87</v>
      </c>
      <c r="K1176" s="86" t="inlineStr">
        <is>
          <t>PEN</t>
        </is>
      </c>
    </row>
    <row r="1177">
      <c r="A1177" s="84" t="n">
        <v>20001580</v>
      </c>
      <c r="B1177" s="67" t="inlineStr">
        <is>
          <t>TPSU</t>
        </is>
      </c>
      <c r="C1177" s="90" t="inlineStr">
        <is>
          <t>L001</t>
        </is>
      </c>
      <c r="D1177" s="84" t="inlineStr">
        <is>
          <t>ALMAC-SACO</t>
        </is>
      </c>
      <c r="E1177" s="80" t="inlineStr">
        <is>
          <t>SACO HP TERM BLANCO C/LOGO 71 X 105CM</t>
        </is>
      </c>
      <c r="F1177" s="67" t="inlineStr">
        <is>
          <t>UN</t>
        </is>
      </c>
      <c r="G1177" s="84" t="n">
        <v>7240</v>
      </c>
      <c r="H1177" s="57" t="inlineStr">
        <is>
          <t>20099-2022</t>
        </is>
      </c>
      <c r="I1177" s="139" t="n">
        <v>11763.42</v>
      </c>
      <c r="J1177" s="140" t="n">
        <v>12940.06</v>
      </c>
      <c r="K1177" s="86" t="inlineStr">
        <is>
          <t>PEN</t>
        </is>
      </c>
    </row>
    <row r="1178">
      <c r="A1178" s="84" t="n">
        <v>20001580</v>
      </c>
      <c r="B1178" s="67" t="inlineStr">
        <is>
          <t>TPSU</t>
        </is>
      </c>
      <c r="C1178" s="90" t="inlineStr">
        <is>
          <t>L001</t>
        </is>
      </c>
      <c r="D1178" s="84" t="inlineStr">
        <is>
          <t>ALMAC-SACO</t>
        </is>
      </c>
      <c r="E1178" s="80" t="inlineStr">
        <is>
          <t>SACO HP TERM BLANCO C/LOGO 71 X 105CM</t>
        </is>
      </c>
      <c r="F1178" s="67" t="inlineStr">
        <is>
          <t>UN</t>
        </is>
      </c>
      <c r="G1178" s="84" t="n">
        <v>50000</v>
      </c>
      <c r="H1178" s="57" t="inlineStr">
        <is>
          <t>OPR-020108</t>
        </is>
      </c>
      <c r="I1178" s="139" t="n">
        <v>81239.07000000001</v>
      </c>
      <c r="J1178" s="140" t="n">
        <v>4558.49</v>
      </c>
      <c r="K1178" s="86" t="inlineStr">
        <is>
          <t>PEN</t>
        </is>
      </c>
    </row>
    <row r="1179">
      <c r="A1179" s="84" t="n">
        <v>20000616</v>
      </c>
      <c r="B1179" s="67" t="inlineStr">
        <is>
          <t>TPSU</t>
        </is>
      </c>
      <c r="C1179" s="90" t="inlineStr">
        <is>
          <t>L001</t>
        </is>
      </c>
      <c r="D1179" s="84" t="inlineStr">
        <is>
          <t>ALMAC-SACO</t>
        </is>
      </c>
      <c r="E1179" s="80" t="inlineStr">
        <is>
          <t>SACO MINERO AMARILLO S/LOG. 54X102 CM</t>
        </is>
      </c>
      <c r="F1179" s="67" t="inlineStr">
        <is>
          <t>UN</t>
        </is>
      </c>
      <c r="G1179" s="84" t="n">
        <v>808</v>
      </c>
      <c r="H1179" s="57" t="inlineStr">
        <is>
          <t>0000004040</t>
        </is>
      </c>
      <c r="I1179" s="139" t="n">
        <v>1120.37</v>
      </c>
      <c r="J1179" s="140" t="n">
        <v>378.69</v>
      </c>
      <c r="K1179" s="86" t="inlineStr">
        <is>
          <t>PEN</t>
        </is>
      </c>
    </row>
    <row r="1180">
      <c r="A1180" s="84" t="n">
        <v>32005362</v>
      </c>
      <c r="B1180" s="67" t="inlineStr">
        <is>
          <t>TPSU</t>
        </is>
      </c>
      <c r="C1180" s="90" t="inlineStr">
        <is>
          <t>L001</t>
        </is>
      </c>
      <c r="D1180" s="84" t="inlineStr">
        <is>
          <t>ALMC-1</t>
        </is>
      </c>
      <c r="E1180" s="80" t="inlineStr">
        <is>
          <t>TRAPO INDUSTRIAL</t>
        </is>
      </c>
      <c r="F1180" s="67" t="inlineStr">
        <is>
          <t>KG</t>
        </is>
      </c>
      <c r="G1180" s="84" t="n">
        <v>372</v>
      </c>
      <c r="H1180" s="57" t="inlineStr"/>
      <c r="I1180" s="139" t="n">
        <v>892.88</v>
      </c>
      <c r="J1180" s="140" t="n">
        <v>143.93</v>
      </c>
      <c r="K1180" s="86" t="inlineStr">
        <is>
          <t>PEN</t>
        </is>
      </c>
    </row>
    <row r="1181">
      <c r="A1181" s="84" t="n">
        <v>31008361</v>
      </c>
      <c r="B1181" s="67" t="inlineStr">
        <is>
          <t>TPSU</t>
        </is>
      </c>
      <c r="C1181" s="90" t="inlineStr">
        <is>
          <t>L001</t>
        </is>
      </c>
      <c r="D1181" s="84" t="inlineStr">
        <is>
          <t>ARMARIO</t>
        </is>
      </c>
      <c r="E1181" s="80" t="inlineStr">
        <is>
          <t>AMONIO CUATERNARIO AL 80% (TIMSEN)</t>
        </is>
      </c>
      <c r="F1181" s="67" t="inlineStr">
        <is>
          <t>KG</t>
        </is>
      </c>
      <c r="G1181" s="84" t="n">
        <v>20</v>
      </c>
      <c r="H1181" s="57" t="inlineStr">
        <is>
          <t>20200012</t>
        </is>
      </c>
      <c r="I1181" s="139" t="n">
        <v>276</v>
      </c>
      <c r="J1181" s="140" t="n">
        <v>158.405</v>
      </c>
      <c r="K1181" s="86" t="inlineStr">
        <is>
          <t>PEN</t>
        </is>
      </c>
    </row>
    <row r="1182">
      <c r="A1182" s="84" t="n">
        <v>32004889</v>
      </c>
      <c r="B1182" s="67" t="inlineStr">
        <is>
          <t>TPSU</t>
        </is>
      </c>
      <c r="C1182" s="90" t="inlineStr">
        <is>
          <t>L001</t>
        </is>
      </c>
      <c r="D1182" s="84" t="inlineStr">
        <is>
          <t>ARMARIO</t>
        </is>
      </c>
      <c r="E1182" s="80" t="inlineStr">
        <is>
          <t>PASTILLAS FOSFURO DE ALUMINIO</t>
        </is>
      </c>
      <c r="F1182" s="67" t="inlineStr">
        <is>
          <t>UN</t>
        </is>
      </c>
      <c r="G1182" s="84" t="n">
        <v>1500</v>
      </c>
      <c r="H1182" s="57" t="inlineStr">
        <is>
          <t>KSOOACR018</t>
        </is>
      </c>
      <c r="I1182" s="139" t="n">
        <v>2442.61</v>
      </c>
      <c r="J1182" s="140" t="n">
        <v>341.545</v>
      </c>
      <c r="K1182" s="86" t="inlineStr">
        <is>
          <t>PEN</t>
        </is>
      </c>
    </row>
    <row r="1183">
      <c r="A1183" s="84" t="n">
        <v>31010728</v>
      </c>
      <c r="B1183" s="67" t="inlineStr">
        <is>
          <t>TPSU</t>
        </is>
      </c>
      <c r="C1183" s="90" t="inlineStr">
        <is>
          <t>L001</t>
        </is>
      </c>
      <c r="D1183" s="84" t="inlineStr">
        <is>
          <t>EST-0101</t>
        </is>
      </c>
      <c r="E1183" s="80" t="inlineStr">
        <is>
          <t>FUSIBLE PLUG EXTRA 140 C</t>
        </is>
      </c>
      <c r="F1183" s="67" t="inlineStr">
        <is>
          <t>UN</t>
        </is>
      </c>
      <c r="G1183" s="84" t="n">
        <v>2</v>
      </c>
      <c r="H1183" s="57" t="inlineStr"/>
      <c r="I1183" s="139" t="n">
        <v>601.15</v>
      </c>
      <c r="J1183" s="140" t="n">
        <v>184.57</v>
      </c>
      <c r="K1183" s="86" t="inlineStr">
        <is>
          <t>PEN</t>
        </is>
      </c>
    </row>
    <row r="1184">
      <c r="A1184" s="84" t="n">
        <v>33035787</v>
      </c>
      <c r="B1184" s="67" t="inlineStr">
        <is>
          <t>TPSU</t>
        </is>
      </c>
      <c r="C1184" s="90" t="inlineStr">
        <is>
          <t>L001</t>
        </is>
      </c>
      <c r="D1184" s="84" t="inlineStr">
        <is>
          <t>EST-0101</t>
        </is>
      </c>
      <c r="E1184" s="80" t="inlineStr">
        <is>
          <t>PIN ACOPLAMIENTO FLEXIBLE 644 270</t>
        </is>
      </c>
      <c r="F1184" s="67" t="inlineStr">
        <is>
          <t>UN</t>
        </is>
      </c>
      <c r="G1184" s="84" t="n">
        <v>12</v>
      </c>
      <c r="H1184" s="57" t="inlineStr"/>
      <c r="I1184" s="139" t="n">
        <v>60.81</v>
      </c>
      <c r="J1184" s="140" t="n">
        <v>245.05</v>
      </c>
      <c r="K1184" s="86" t="inlineStr">
        <is>
          <t>PEN</t>
        </is>
      </c>
    </row>
    <row r="1185">
      <c r="A1185" s="84" t="n">
        <v>33035628</v>
      </c>
      <c r="B1185" s="67" t="inlineStr">
        <is>
          <t>TPSU</t>
        </is>
      </c>
      <c r="C1185" s="90" t="inlineStr">
        <is>
          <t>L001</t>
        </is>
      </c>
      <c r="D1185" s="84" t="inlineStr">
        <is>
          <t>EST-0102</t>
        </is>
      </c>
      <c r="E1185" s="80" t="inlineStr">
        <is>
          <t>PANTALLA TACTIL 4 PANEL VIEW 1000</t>
        </is>
      </c>
      <c r="F1185" s="67" t="inlineStr">
        <is>
          <t>UN</t>
        </is>
      </c>
      <c r="G1185" s="84" t="n">
        <v>1</v>
      </c>
      <c r="H1185" s="57" t="inlineStr"/>
      <c r="I1185" s="139" t="n">
        <v>12390.94</v>
      </c>
      <c r="J1185" s="140" t="n">
        <v>1266.2</v>
      </c>
      <c r="K1185" s="86" t="inlineStr">
        <is>
          <t>PEN</t>
        </is>
      </c>
    </row>
    <row r="1186">
      <c r="A1186" s="84" t="n">
        <v>33048365</v>
      </c>
      <c r="B1186" s="67" t="inlineStr">
        <is>
          <t>TPSU</t>
        </is>
      </c>
      <c r="C1186" s="90" t="inlineStr">
        <is>
          <t>L001</t>
        </is>
      </c>
      <c r="D1186" s="84" t="inlineStr">
        <is>
          <t>EST-0102</t>
        </is>
      </c>
      <c r="E1186" s="80" t="inlineStr">
        <is>
          <t>SENSOR INDUCTIVO XECRO IPS30-S16AO55-A2P</t>
        </is>
      </c>
      <c r="F1186" s="67" t="inlineStr">
        <is>
          <t>UN</t>
        </is>
      </c>
      <c r="G1186" s="84" t="n">
        <v>2</v>
      </c>
      <c r="H1186" s="57" t="inlineStr"/>
      <c r="I1186" s="139" t="n">
        <v>922.29</v>
      </c>
      <c r="J1186" s="140" t="n">
        <v>1582.22</v>
      </c>
      <c r="K1186" s="86" t="inlineStr">
        <is>
          <t>PEN</t>
        </is>
      </c>
    </row>
    <row r="1187">
      <c r="A1187" s="84" t="n">
        <v>33038481</v>
      </c>
      <c r="B1187" s="67" t="inlineStr">
        <is>
          <t>TPSU</t>
        </is>
      </c>
      <c r="C1187" s="90" t="inlineStr">
        <is>
          <t>L001</t>
        </is>
      </c>
      <c r="D1187" s="84" t="inlineStr">
        <is>
          <t>EST-0102</t>
        </is>
      </c>
      <c r="E1187" s="80" t="inlineStr">
        <is>
          <t>SENSOR PROXIMIDAD INDUCTIVO M30 IP67</t>
        </is>
      </c>
      <c r="F1187" s="67" t="inlineStr">
        <is>
          <t>UN</t>
        </is>
      </c>
      <c r="G1187" s="84" t="n">
        <v>2</v>
      </c>
      <c r="H1187" s="57" t="inlineStr"/>
      <c r="I1187" s="139" t="n">
        <v>1564.11</v>
      </c>
      <c r="J1187" s="140" t="n">
        <v>362.53</v>
      </c>
      <c r="K1187" s="86" t="inlineStr">
        <is>
          <t>PEN</t>
        </is>
      </c>
    </row>
    <row r="1188">
      <c r="A1188" s="84" t="n">
        <v>34004322</v>
      </c>
      <c r="B1188" s="67" t="inlineStr">
        <is>
          <t>TPSU</t>
        </is>
      </c>
      <c r="C1188" s="90" t="inlineStr">
        <is>
          <t>L001</t>
        </is>
      </c>
      <c r="D1188" s="84" t="inlineStr">
        <is>
          <t>EST-0102</t>
        </is>
      </c>
      <c r="E1188" s="80" t="inlineStr">
        <is>
          <t>SENSOR VELOC (INITIATOR) 1714.153.10</t>
        </is>
      </c>
      <c r="F1188" s="67" t="inlineStr">
        <is>
          <t>UN</t>
        </is>
      </c>
      <c r="G1188" s="84" t="n">
        <v>1</v>
      </c>
      <c r="H1188" s="57" t="inlineStr"/>
      <c r="I1188" s="139" t="n">
        <v>1068.79</v>
      </c>
      <c r="J1188" s="140" t="n">
        <v>687.77</v>
      </c>
      <c r="K1188" s="86" t="inlineStr">
        <is>
          <t>PEN</t>
        </is>
      </c>
    </row>
    <row r="1189">
      <c r="A1189" s="84" t="n">
        <v>33033338</v>
      </c>
      <c r="B1189" s="67" t="inlineStr">
        <is>
          <t>TPSU</t>
        </is>
      </c>
      <c r="C1189" s="90" t="inlineStr">
        <is>
          <t>L001</t>
        </is>
      </c>
      <c r="D1189" s="84" t="inlineStr">
        <is>
          <t>EST-0103</t>
        </is>
      </c>
      <c r="E1189" s="80" t="inlineStr">
        <is>
          <t>FUENTE ALIMENT. SITOP 220VAC/24VDC 5</t>
        </is>
      </c>
      <c r="F1189" s="67" t="inlineStr">
        <is>
          <t>UN</t>
        </is>
      </c>
      <c r="G1189" s="84" t="n">
        <v>1</v>
      </c>
      <c r="H1189" s="57" t="inlineStr"/>
      <c r="I1189" s="139" t="n">
        <v>647.46</v>
      </c>
      <c r="J1189" s="140" t="n">
        <v>625.47</v>
      </c>
      <c r="K1189" s="86" t="inlineStr">
        <is>
          <t>PEN</t>
        </is>
      </c>
    </row>
    <row r="1190">
      <c r="A1190" s="84" t="n">
        <v>34003722</v>
      </c>
      <c r="B1190" s="67" t="inlineStr">
        <is>
          <t>TPSU</t>
        </is>
      </c>
      <c r="C1190" s="90" t="inlineStr">
        <is>
          <t>L001</t>
        </is>
      </c>
      <c r="D1190" s="84" t="inlineStr">
        <is>
          <t>EST-0103</t>
        </is>
      </c>
      <c r="E1190" s="80" t="inlineStr">
        <is>
          <t>IGNITION ELECTRODE UNIT</t>
        </is>
      </c>
      <c r="F1190" s="67" t="inlineStr">
        <is>
          <t>UN</t>
        </is>
      </c>
      <c r="G1190" s="84" t="n">
        <v>1</v>
      </c>
      <c r="H1190" s="57" t="inlineStr"/>
      <c r="I1190" s="139" t="n">
        <v>2439.55</v>
      </c>
      <c r="J1190" s="140" t="n">
        <v>739.96</v>
      </c>
      <c r="K1190" s="86" t="inlineStr">
        <is>
          <t>PEN</t>
        </is>
      </c>
    </row>
    <row r="1191">
      <c r="A1191" s="84" t="n">
        <v>33036262</v>
      </c>
      <c r="B1191" s="67" t="inlineStr">
        <is>
          <t>TPSU</t>
        </is>
      </c>
      <c r="C1191" s="90" t="inlineStr">
        <is>
          <t>L001</t>
        </is>
      </c>
      <c r="D1191" s="84" t="inlineStr">
        <is>
          <t>EST-0103</t>
        </is>
      </c>
      <c r="E1191" s="80" t="inlineStr">
        <is>
          <t>PUMP GP FUEL TRANSFER 1W-1695</t>
        </is>
      </c>
      <c r="F1191" s="67" t="inlineStr">
        <is>
          <t>UN</t>
        </is>
      </c>
      <c r="G1191" s="84" t="n">
        <v>1</v>
      </c>
      <c r="H1191" s="57" t="inlineStr"/>
      <c r="I1191" s="139" t="n">
        <v>2512.54</v>
      </c>
      <c r="J1191" s="140" t="n">
        <v>882.08</v>
      </c>
      <c r="K1191" s="86" t="inlineStr">
        <is>
          <t>PEN</t>
        </is>
      </c>
    </row>
    <row r="1192">
      <c r="A1192" s="84" t="n">
        <v>33031565</v>
      </c>
      <c r="B1192" s="67" t="inlineStr">
        <is>
          <t>TPSU</t>
        </is>
      </c>
      <c r="C1192" s="90" t="inlineStr">
        <is>
          <t>L001</t>
        </is>
      </c>
      <c r="D1192" s="84" t="inlineStr">
        <is>
          <t>EST-0104</t>
        </is>
      </c>
      <c r="E1192" s="80" t="inlineStr">
        <is>
          <t>CONTACTOR 32A AC3 BOBINA 220V-60HZ</t>
        </is>
      </c>
      <c r="F1192" s="67" t="inlineStr">
        <is>
          <t>UN</t>
        </is>
      </c>
      <c r="G1192" s="84" t="n">
        <v>2</v>
      </c>
      <c r="H1192" s="57" t="inlineStr"/>
      <c r="I1192" s="139" t="n">
        <v>729.05</v>
      </c>
      <c r="J1192" s="140" t="n">
        <v>2803.45</v>
      </c>
      <c r="K1192" s="86" t="inlineStr">
        <is>
          <t>PEN</t>
        </is>
      </c>
    </row>
    <row r="1193">
      <c r="A1193" s="84" t="n">
        <v>33031574</v>
      </c>
      <c r="B1193" s="67" t="inlineStr">
        <is>
          <t>TPSU</t>
        </is>
      </c>
      <c r="C1193" s="90" t="inlineStr">
        <is>
          <t>L001</t>
        </is>
      </c>
      <c r="D1193" s="84" t="inlineStr">
        <is>
          <t>EST-0104</t>
        </is>
      </c>
      <c r="E1193" s="80" t="inlineStr">
        <is>
          <t>CONTACTOR 50A AC3 BOB 220V-60HZ LC1-D50M</t>
        </is>
      </c>
      <c r="F1193" s="67" t="inlineStr">
        <is>
          <t>UN</t>
        </is>
      </c>
      <c r="G1193" s="84" t="n">
        <v>1</v>
      </c>
      <c r="H1193" s="57" t="inlineStr"/>
      <c r="I1193" s="139" t="n">
        <v>328.76</v>
      </c>
      <c r="J1193" s="140" t="n">
        <v>2803.45</v>
      </c>
      <c r="K1193" s="86" t="inlineStr">
        <is>
          <t>PEN</t>
        </is>
      </c>
    </row>
    <row r="1194">
      <c r="A1194" s="84" t="n">
        <v>33031581</v>
      </c>
      <c r="B1194" s="67" t="inlineStr">
        <is>
          <t>TPSU</t>
        </is>
      </c>
      <c r="C1194" s="90" t="inlineStr">
        <is>
          <t>L001</t>
        </is>
      </c>
      <c r="D1194" s="84" t="inlineStr">
        <is>
          <t>EST-0104</t>
        </is>
      </c>
      <c r="E1194" s="80" t="inlineStr">
        <is>
          <t>CONTACTOR 80A AC3 BOBINA 220V-60HZ</t>
        </is>
      </c>
      <c r="F1194" s="67" t="inlineStr">
        <is>
          <t>UN</t>
        </is>
      </c>
      <c r="G1194" s="84" t="n">
        <v>2</v>
      </c>
      <c r="H1194" s="57" t="inlineStr"/>
      <c r="I1194" s="139" t="n">
        <v>1380.74</v>
      </c>
      <c r="J1194" s="140" t="n">
        <v>403.851</v>
      </c>
      <c r="K1194" s="86" t="inlineStr">
        <is>
          <t>PEN</t>
        </is>
      </c>
    </row>
    <row r="1195">
      <c r="A1195" s="84" t="n">
        <v>31010932</v>
      </c>
      <c r="B1195" s="67" t="inlineStr">
        <is>
          <t>TPSU</t>
        </is>
      </c>
      <c r="C1195" s="90" t="inlineStr">
        <is>
          <t>L001</t>
        </is>
      </c>
      <c r="D1195" s="84" t="inlineStr">
        <is>
          <t>EST-0104</t>
        </is>
      </c>
      <c r="E1195" s="80" t="inlineStr">
        <is>
          <t>GUARDAMOTOR GV3-L40 DE 30-40A</t>
        </is>
      </c>
      <c r="F1195" s="67" t="inlineStr">
        <is>
          <t>UN</t>
        </is>
      </c>
      <c r="G1195" s="84" t="n">
        <v>1</v>
      </c>
      <c r="H1195" s="57" t="inlineStr"/>
      <c r="I1195" s="139" t="n">
        <v>426.46</v>
      </c>
      <c r="J1195" s="140" t="n">
        <v>399.67</v>
      </c>
      <c r="K1195" s="86" t="inlineStr">
        <is>
          <t>PEN</t>
        </is>
      </c>
    </row>
    <row r="1196">
      <c r="A1196" s="84" t="n">
        <v>33051695</v>
      </c>
      <c r="B1196" s="67" t="inlineStr">
        <is>
          <t>TPSU</t>
        </is>
      </c>
      <c r="C1196" s="90" t="inlineStr">
        <is>
          <t>L001</t>
        </is>
      </c>
      <c r="D1196" s="84" t="inlineStr">
        <is>
          <t>EST-0104</t>
        </is>
      </c>
      <c r="E1196" s="80" t="inlineStr">
        <is>
          <t>GUARDAMOTOR GV3-P40 DE 30-40 A</t>
        </is>
      </c>
      <c r="F1196" s="67" t="inlineStr">
        <is>
          <t>UN</t>
        </is>
      </c>
      <c r="G1196" s="84" t="n">
        <v>1</v>
      </c>
      <c r="H1196" s="57" t="inlineStr"/>
      <c r="I1196" s="139" t="n">
        <v>843.9</v>
      </c>
      <c r="J1196" s="140" t="n">
        <v>62.035</v>
      </c>
      <c r="K1196" s="86" t="inlineStr">
        <is>
          <t>PEN</t>
        </is>
      </c>
    </row>
    <row r="1197">
      <c r="A1197" s="84" t="n">
        <v>31008840</v>
      </c>
      <c r="B1197" s="67" t="inlineStr">
        <is>
          <t>TPSU</t>
        </is>
      </c>
      <c r="C1197" s="90" t="inlineStr">
        <is>
          <t>L001</t>
        </is>
      </c>
      <c r="D1197" s="84" t="inlineStr">
        <is>
          <t>EST-0105</t>
        </is>
      </c>
      <c r="E1197" s="80" t="inlineStr">
        <is>
          <t>BOCINA DENT. 13T BBA HIDRAULICA</t>
        </is>
      </c>
      <c r="F1197" s="67" t="inlineStr">
        <is>
          <t>UN</t>
        </is>
      </c>
      <c r="G1197" s="84" t="n">
        <v>1</v>
      </c>
      <c r="H1197" s="57" t="inlineStr"/>
      <c r="I1197" s="139" t="n">
        <v>500.4</v>
      </c>
      <c r="J1197" s="140" t="n">
        <v>49.79</v>
      </c>
      <c r="K1197" s="86" t="inlineStr">
        <is>
          <t>PEN</t>
        </is>
      </c>
    </row>
    <row r="1198">
      <c r="A1198" s="84" t="n">
        <v>33031811</v>
      </c>
      <c r="B1198" s="67" t="inlineStr">
        <is>
          <t>TPSU</t>
        </is>
      </c>
      <c r="C1198" s="90" t="inlineStr">
        <is>
          <t>L001</t>
        </is>
      </c>
      <c r="D1198" s="84" t="inlineStr">
        <is>
          <t>EST-0105</t>
        </is>
      </c>
      <c r="E1198" s="80" t="inlineStr">
        <is>
          <t>DETECTOR ULTRAVIOLETA C7027A1049</t>
        </is>
      </c>
      <c r="F1198" s="67" t="inlineStr">
        <is>
          <t>UN</t>
        </is>
      </c>
      <c r="G1198" s="84" t="n">
        <v>1</v>
      </c>
      <c r="H1198" s="57" t="inlineStr"/>
      <c r="I1198" s="139" t="n">
        <v>569.17</v>
      </c>
      <c r="J1198" s="140" t="n">
        <v>452.7</v>
      </c>
      <c r="K1198" s="86" t="inlineStr">
        <is>
          <t>PEN</t>
        </is>
      </c>
    </row>
    <row r="1199">
      <c r="A1199" s="84" t="n">
        <v>33038888</v>
      </c>
      <c r="B1199" s="67" t="inlineStr">
        <is>
          <t>TPSU</t>
        </is>
      </c>
      <c r="C1199" s="90" t="inlineStr">
        <is>
          <t>L001</t>
        </is>
      </c>
      <c r="D1199" s="84" t="inlineStr">
        <is>
          <t>EST-0105</t>
        </is>
      </c>
      <c r="E1199" s="80" t="inlineStr">
        <is>
          <t>SWITCH INDUSTRIAL SCALANCE XB005 5P IP20</t>
        </is>
      </c>
      <c r="F1199" s="67" t="inlineStr">
        <is>
          <t>UN</t>
        </is>
      </c>
      <c r="G1199" s="84" t="n">
        <v>1</v>
      </c>
      <c r="H1199" s="57" t="inlineStr"/>
      <c r="I1199" s="139" t="n">
        <v>504.4</v>
      </c>
      <c r="J1199" s="140" t="n">
        <v>558.72</v>
      </c>
      <c r="K1199" s="86" t="inlineStr">
        <is>
          <t>PEN</t>
        </is>
      </c>
    </row>
    <row r="1200">
      <c r="A1200" s="84" t="n">
        <v>33039898</v>
      </c>
      <c r="B1200" s="67" t="inlineStr">
        <is>
          <t>TPSU</t>
        </is>
      </c>
      <c r="C1200" s="90" t="inlineStr">
        <is>
          <t>L001</t>
        </is>
      </c>
      <c r="D1200" s="84" t="inlineStr">
        <is>
          <t>EST-0105</t>
        </is>
      </c>
      <c r="E1200" s="80" t="inlineStr">
        <is>
          <t>VALV. PILOTO P/POSICIONADOR ELECTRO-NEU</t>
        </is>
      </c>
      <c r="F1200" s="67" t="inlineStr">
        <is>
          <t>UN</t>
        </is>
      </c>
      <c r="G1200" s="84" t="n">
        <v>1</v>
      </c>
      <c r="H1200" s="57" t="inlineStr"/>
      <c r="I1200" s="139" t="n">
        <v>521.25</v>
      </c>
      <c r="J1200" s="140" t="n">
        <v>1216.21</v>
      </c>
      <c r="K1200" s="86" t="inlineStr">
        <is>
          <t>PEN</t>
        </is>
      </c>
    </row>
    <row r="1201">
      <c r="A1201" s="84" t="n">
        <v>33041474</v>
      </c>
      <c r="B1201" s="67" t="inlineStr">
        <is>
          <t>TPSU</t>
        </is>
      </c>
      <c r="C1201" s="90" t="inlineStr">
        <is>
          <t>L001</t>
        </is>
      </c>
      <c r="D1201" s="84" t="inlineStr">
        <is>
          <t>EST-0106</t>
        </is>
      </c>
      <c r="E1201" s="80" t="inlineStr">
        <is>
          <t>SELLO MECANICO 48MM HN400N-048Q1Q1VGG</t>
        </is>
      </c>
      <c r="F1201" s="67" t="inlineStr">
        <is>
          <t>UN</t>
        </is>
      </c>
      <c r="G1201" s="84" t="n">
        <v>1</v>
      </c>
      <c r="H1201" s="57" t="inlineStr"/>
      <c r="I1201" s="139" t="n">
        <v>1205</v>
      </c>
      <c r="J1201" s="140" t="n">
        <v>1979.04</v>
      </c>
      <c r="K1201" s="86" t="inlineStr">
        <is>
          <t>PEN</t>
        </is>
      </c>
    </row>
    <row r="1202">
      <c r="A1202" s="84" t="n">
        <v>33038340</v>
      </c>
      <c r="B1202" s="67" t="inlineStr">
        <is>
          <t>TPSU</t>
        </is>
      </c>
      <c r="C1202" s="90" t="inlineStr">
        <is>
          <t>L001</t>
        </is>
      </c>
      <c r="D1202" s="84" t="inlineStr">
        <is>
          <t>EST-0106</t>
        </is>
      </c>
      <c r="E1202" s="80" t="inlineStr">
        <is>
          <t>SELLO MECANICO 50MM HN901-50 Q1Q1VGG</t>
        </is>
      </c>
      <c r="F1202" s="67" t="inlineStr">
        <is>
          <t>UN</t>
        </is>
      </c>
      <c r="G1202" s="84" t="n">
        <v>1</v>
      </c>
      <c r="H1202" s="57" t="inlineStr"/>
      <c r="I1202" s="139" t="n">
        <v>837.9400000000001</v>
      </c>
      <c r="J1202" s="140" t="n">
        <v>1008.72</v>
      </c>
      <c r="K1202" s="86" t="inlineStr">
        <is>
          <t>PEN</t>
        </is>
      </c>
    </row>
    <row r="1203">
      <c r="A1203" s="84" t="n">
        <v>33038346</v>
      </c>
      <c r="B1203" s="67" t="inlineStr">
        <is>
          <t>TPSU</t>
        </is>
      </c>
      <c r="C1203" s="90" t="inlineStr">
        <is>
          <t>L001</t>
        </is>
      </c>
      <c r="D1203" s="84" t="inlineStr">
        <is>
          <t>EST-0106</t>
        </is>
      </c>
      <c r="E1203" s="80" t="inlineStr">
        <is>
          <t>SELLO MECANICO 55MM FLEJE INOX-CARBON</t>
        </is>
      </c>
      <c r="F1203" s="67" t="inlineStr">
        <is>
          <t>UN</t>
        </is>
      </c>
      <c r="G1203" s="84" t="n">
        <v>1</v>
      </c>
      <c r="H1203" s="57" t="inlineStr"/>
      <c r="I1203" s="139" t="n">
        <v>1680.19</v>
      </c>
      <c r="J1203" s="140" t="n">
        <v>1271.21</v>
      </c>
      <c r="K1203" s="86" t="inlineStr">
        <is>
          <t>PEN</t>
        </is>
      </c>
    </row>
    <row r="1204">
      <c r="A1204" s="84" t="n">
        <v>33038352</v>
      </c>
      <c r="B1204" s="67" t="inlineStr">
        <is>
          <t>TPSU</t>
        </is>
      </c>
      <c r="C1204" s="90" t="inlineStr">
        <is>
          <t>L001</t>
        </is>
      </c>
      <c r="D1204" s="84" t="inlineStr">
        <is>
          <t>EST-0106</t>
        </is>
      </c>
      <c r="E1204" s="80" t="inlineStr">
        <is>
          <t>SELLO MECANICO 75MM HN400N-075Q1Q1VGG</t>
        </is>
      </c>
      <c r="F1204" s="67" t="inlineStr">
        <is>
          <t>UN</t>
        </is>
      </c>
      <c r="G1204" s="84" t="n">
        <v>3</v>
      </c>
      <c r="H1204" s="57" t="inlineStr"/>
      <c r="I1204" s="139" t="n">
        <v>8527.379999999999</v>
      </c>
      <c r="J1204" s="140" t="n">
        <v>2002.93</v>
      </c>
      <c r="K1204" s="86" t="inlineStr">
        <is>
          <t>PEN</t>
        </is>
      </c>
    </row>
    <row r="1205">
      <c r="A1205" s="84" t="n">
        <v>33030761</v>
      </c>
      <c r="B1205" s="67" t="inlineStr">
        <is>
          <t>TPSU</t>
        </is>
      </c>
      <c r="C1205" s="90" t="inlineStr">
        <is>
          <t>L001</t>
        </is>
      </c>
      <c r="D1205" s="84" t="inlineStr">
        <is>
          <t>EST-0107</t>
        </is>
      </c>
      <c r="E1205" s="80" t="inlineStr">
        <is>
          <t>CADENA SIMPLE 1" ASA 80-1</t>
        </is>
      </c>
      <c r="F1205" s="67" t="inlineStr">
        <is>
          <t>M</t>
        </is>
      </c>
      <c r="G1205" s="84" t="n">
        <v>6.4</v>
      </c>
      <c r="H1205" s="57" t="inlineStr"/>
      <c r="I1205" s="139" t="n">
        <v>752.5599999999999</v>
      </c>
      <c r="J1205" s="140" t="n">
        <v>22</v>
      </c>
      <c r="K1205" s="86" t="inlineStr">
        <is>
          <t>PEN</t>
        </is>
      </c>
    </row>
    <row r="1206">
      <c r="A1206" s="84" t="n">
        <v>33030896</v>
      </c>
      <c r="B1206" s="67" t="inlineStr">
        <is>
          <t>TPSU</t>
        </is>
      </c>
      <c r="C1206" s="90" t="inlineStr">
        <is>
          <t>L001</t>
        </is>
      </c>
      <c r="D1206" s="84" t="inlineStr">
        <is>
          <t>EST-0107</t>
        </is>
      </c>
      <c r="E1206" s="80" t="inlineStr">
        <is>
          <t>CANDADO SIMPLE 1" ASA 80-1</t>
        </is>
      </c>
      <c r="F1206" s="67" t="inlineStr">
        <is>
          <t>UN</t>
        </is>
      </c>
      <c r="G1206" s="84" t="n">
        <v>2</v>
      </c>
      <c r="H1206" s="57" t="inlineStr"/>
      <c r="I1206" s="139" t="n">
        <v>6.24</v>
      </c>
      <c r="J1206" s="140" t="n">
        <v>22.005</v>
      </c>
      <c r="K1206" s="86" t="inlineStr">
        <is>
          <t>PEN</t>
        </is>
      </c>
    </row>
    <row r="1207">
      <c r="A1207" s="84" t="n">
        <v>33031849</v>
      </c>
      <c r="B1207" s="67" t="inlineStr">
        <is>
          <t>TPSU</t>
        </is>
      </c>
      <c r="C1207" s="90" t="inlineStr">
        <is>
          <t>L001</t>
        </is>
      </c>
      <c r="D1207" s="84" t="inlineStr">
        <is>
          <t>EST-0107</t>
        </is>
      </c>
      <c r="E1207" s="80" t="inlineStr">
        <is>
          <t>DISCO FLEX. 7" 644-270</t>
        </is>
      </c>
      <c r="F1207" s="67" t="inlineStr">
        <is>
          <t>UN</t>
        </is>
      </c>
      <c r="G1207" s="84" t="n">
        <v>2</v>
      </c>
      <c r="H1207" s="57" t="inlineStr"/>
      <c r="I1207" s="139" t="n">
        <v>338.47</v>
      </c>
      <c r="J1207" s="140" t="n">
        <v>17.54666666666667</v>
      </c>
      <c r="K1207" s="86" t="inlineStr">
        <is>
          <t>PEN</t>
        </is>
      </c>
    </row>
    <row r="1208">
      <c r="A1208" s="84" t="n">
        <v>34003720</v>
      </c>
      <c r="B1208" s="67" t="inlineStr">
        <is>
          <t>TPSU</t>
        </is>
      </c>
      <c r="C1208" s="90" t="inlineStr">
        <is>
          <t>L001</t>
        </is>
      </c>
      <c r="D1208" s="84" t="inlineStr">
        <is>
          <t>EST-0107</t>
        </is>
      </c>
      <c r="E1208" s="80" t="inlineStr">
        <is>
          <t>POLY V BELT 6-5445-001478</t>
        </is>
      </c>
      <c r="F1208" s="67" t="inlineStr">
        <is>
          <t>UN</t>
        </is>
      </c>
      <c r="G1208" s="84" t="n">
        <v>1</v>
      </c>
      <c r="H1208" s="57" t="inlineStr"/>
      <c r="I1208" s="139" t="n">
        <v>798.87</v>
      </c>
      <c r="J1208" s="140" t="n">
        <v>23.65</v>
      </c>
      <c r="K1208" s="86" t="inlineStr">
        <is>
          <t>PEN</t>
        </is>
      </c>
    </row>
    <row r="1209">
      <c r="A1209" s="84" t="n">
        <v>34003715</v>
      </c>
      <c r="B1209" s="82" t="inlineStr">
        <is>
          <t>TPSU</t>
        </is>
      </c>
      <c r="C1209" s="82" t="inlineStr">
        <is>
          <t>L001</t>
        </is>
      </c>
      <c r="D1209" s="84" t="inlineStr">
        <is>
          <t>EST-0108</t>
        </is>
      </c>
      <c r="E1209" s="80" t="inlineStr">
        <is>
          <t>KIT MAYOR P/CENTRIFUGA AFP 548376-07</t>
        </is>
      </c>
      <c r="F1209" s="67" t="inlineStr">
        <is>
          <t>UN</t>
        </is>
      </c>
      <c r="G1209" s="84" t="n">
        <v>1</v>
      </c>
      <c r="H1209" s="57" t="inlineStr"/>
      <c r="I1209" s="139" t="n">
        <v>12940.06</v>
      </c>
      <c r="J1209" s="140" t="n">
        <v>23.65333333333333</v>
      </c>
      <c r="K1209" s="86" t="inlineStr">
        <is>
          <t>PEN</t>
        </is>
      </c>
    </row>
    <row r="1210">
      <c r="A1210" s="84" t="n">
        <v>33038819</v>
      </c>
      <c r="B1210" s="67" t="inlineStr">
        <is>
          <t>TPSU</t>
        </is>
      </c>
      <c r="C1210" s="90" t="inlineStr">
        <is>
          <t>L001</t>
        </is>
      </c>
      <c r="D1210" s="84" t="inlineStr">
        <is>
          <t>EST-0108</t>
        </is>
      </c>
      <c r="E1210" s="80" t="inlineStr">
        <is>
          <t>STATOR RBA1F6510</t>
        </is>
      </c>
      <c r="F1210" s="67" t="inlineStr">
        <is>
          <t>UN</t>
        </is>
      </c>
      <c r="G1210" s="84" t="n">
        <v>1</v>
      </c>
      <c r="H1210" s="57" t="inlineStr"/>
      <c r="I1210" s="139" t="n">
        <v>4558.49</v>
      </c>
      <c r="J1210" s="140" t="n">
        <v>23.6525</v>
      </c>
      <c r="K1210" s="86" t="inlineStr">
        <is>
          <t>PEN</t>
        </is>
      </c>
    </row>
    <row r="1211">
      <c r="A1211" s="84" t="n">
        <v>33030165</v>
      </c>
      <c r="B1211" s="67" t="inlineStr">
        <is>
          <t>TPSU</t>
        </is>
      </c>
      <c r="C1211" s="90" t="inlineStr">
        <is>
          <t>L001</t>
        </is>
      </c>
      <c r="D1211" s="84" t="inlineStr">
        <is>
          <t>EST-0201</t>
        </is>
      </c>
      <c r="E1211" s="80" t="inlineStr">
        <is>
          <t>BASEUNIT ET-200SP SIMATIC BU15-P16+A0+2B</t>
        </is>
      </c>
      <c r="F1211" s="67" t="inlineStr">
        <is>
          <t>UN</t>
        </is>
      </c>
      <c r="G1211" s="84" t="n">
        <v>1</v>
      </c>
      <c r="H1211" s="57" t="inlineStr"/>
      <c r="I1211" s="139" t="n">
        <v>378.69</v>
      </c>
      <c r="J1211" s="140" t="n">
        <v>3294.65</v>
      </c>
      <c r="K1211" s="86" t="inlineStr">
        <is>
          <t>PEN</t>
        </is>
      </c>
    </row>
    <row r="1212">
      <c r="A1212" s="84" t="n">
        <v>33030166</v>
      </c>
      <c r="B1212" s="67" t="inlineStr">
        <is>
          <t>TPSU</t>
        </is>
      </c>
      <c r="C1212" s="90" t="inlineStr">
        <is>
          <t>L001</t>
        </is>
      </c>
      <c r="D1212" s="84" t="inlineStr">
        <is>
          <t>EST-0201</t>
        </is>
      </c>
      <c r="E1212" s="80" t="inlineStr">
        <is>
          <t>BASEUNIT ET-200SP SIMATIC BU15-P16+A0+2D</t>
        </is>
      </c>
      <c r="F1212" s="67" t="inlineStr">
        <is>
          <t>UN</t>
        </is>
      </c>
      <c r="G1212" s="84" t="n">
        <v>1</v>
      </c>
      <c r="H1212" s="57" t="inlineStr"/>
      <c r="I1212" s="139" t="n">
        <v>143.93</v>
      </c>
      <c r="J1212" s="140" t="n">
        <v>1533.27</v>
      </c>
      <c r="K1212" s="86" t="inlineStr">
        <is>
          <t>PEN</t>
        </is>
      </c>
    </row>
    <row r="1213">
      <c r="A1213" s="84" t="n">
        <v>34004948</v>
      </c>
      <c r="B1213" s="67" t="inlineStr">
        <is>
          <t>TPSU</t>
        </is>
      </c>
      <c r="C1213" s="90" t="inlineStr">
        <is>
          <t>L001</t>
        </is>
      </c>
      <c r="D1213" s="84" t="inlineStr">
        <is>
          <t>EST-0201</t>
        </is>
      </c>
      <c r="E1213" s="80" t="inlineStr">
        <is>
          <t>CARBON SELLO ROTULA P/JUNTA ROTATIVA 2"</t>
        </is>
      </c>
      <c r="F1213" s="67" t="inlineStr">
        <is>
          <t>UN</t>
        </is>
      </c>
      <c r="G1213" s="84" t="n">
        <v>2</v>
      </c>
      <c r="H1213" s="57" t="inlineStr"/>
      <c r="I1213" s="139" t="n">
        <v>316.81</v>
      </c>
      <c r="J1213" s="140" t="n">
        <v>47.58571428571429</v>
      </c>
      <c r="K1213" s="86" t="inlineStr">
        <is>
          <t>PEN</t>
        </is>
      </c>
    </row>
    <row r="1214">
      <c r="A1214" s="84" t="n">
        <v>34002480</v>
      </c>
      <c r="B1214" s="67" t="inlineStr">
        <is>
          <t>TPSU</t>
        </is>
      </c>
      <c r="C1214" s="90" t="inlineStr">
        <is>
          <t>L001</t>
        </is>
      </c>
      <c r="D1214" s="84" t="inlineStr">
        <is>
          <t>EST-0201</t>
        </is>
      </c>
      <c r="E1214" s="80" t="inlineStr">
        <is>
          <t>CARBON SELLO ROTULA P/JUNTA ROTATIVA 4</t>
        </is>
      </c>
      <c r="F1214" s="67" t="inlineStr">
        <is>
          <t>UN</t>
        </is>
      </c>
      <c r="G1214" s="84" t="n">
        <v>2</v>
      </c>
      <c r="H1214" s="57" t="inlineStr"/>
      <c r="I1214" s="139" t="n">
        <v>683.09</v>
      </c>
      <c r="J1214" s="140" t="n">
        <v>47.58583333333333</v>
      </c>
      <c r="K1214" s="86" t="inlineStr">
        <is>
          <t>PEN</t>
        </is>
      </c>
    </row>
    <row r="1215">
      <c r="A1215" s="84" t="n">
        <v>33031823</v>
      </c>
      <c r="B1215" s="67" t="inlineStr">
        <is>
          <t>TPSU</t>
        </is>
      </c>
      <c r="C1215" s="90" t="inlineStr">
        <is>
          <t>L001</t>
        </is>
      </c>
      <c r="D1215" s="84" t="inlineStr">
        <is>
          <t>EST-0201</t>
        </is>
      </c>
      <c r="E1215" s="80" t="inlineStr">
        <is>
          <t>DIGITAL INPUT TERMINAL ET200SP 16DI 24V</t>
        </is>
      </c>
      <c r="F1215" s="67" t="inlineStr">
        <is>
          <t>UN</t>
        </is>
      </c>
      <c r="G1215" s="84" t="n">
        <v>1</v>
      </c>
      <c r="H1215" s="57" t="inlineStr"/>
      <c r="I1215" s="139" t="n">
        <v>184.57</v>
      </c>
      <c r="J1215" s="140" t="n">
        <v>47.59</v>
      </c>
      <c r="K1215" s="86" t="inlineStr">
        <is>
          <t>PEN</t>
        </is>
      </c>
    </row>
    <row r="1216">
      <c r="A1216" s="84" t="n">
        <v>33031827</v>
      </c>
      <c r="B1216" s="67" t="inlineStr">
        <is>
          <t>TPSU</t>
        </is>
      </c>
      <c r="C1216" s="90" t="inlineStr">
        <is>
          <t>L001</t>
        </is>
      </c>
      <c r="D1216" s="84" t="inlineStr">
        <is>
          <t>EST-0201</t>
        </is>
      </c>
      <c r="E1216" s="80" t="inlineStr">
        <is>
          <t>DIGITAL OUTPUT TERMINAL ET200SP 16DO 24V</t>
        </is>
      </c>
      <c r="F1216" s="67" t="inlineStr">
        <is>
          <t>UN</t>
        </is>
      </c>
      <c r="G1216" s="84" t="n">
        <v>1</v>
      </c>
      <c r="H1216" s="57" t="inlineStr"/>
      <c r="I1216" s="139" t="n">
        <v>245.05</v>
      </c>
      <c r="J1216" s="140" t="n">
        <v>44.24</v>
      </c>
      <c r="K1216" s="86" t="inlineStr">
        <is>
          <t>PEN</t>
        </is>
      </c>
    </row>
    <row r="1217">
      <c r="A1217" s="84" t="n">
        <v>33035138</v>
      </c>
      <c r="B1217" s="67" t="inlineStr">
        <is>
          <t>TPSU</t>
        </is>
      </c>
      <c r="C1217" s="90" t="inlineStr">
        <is>
          <t>L001</t>
        </is>
      </c>
      <c r="D1217" s="84" t="inlineStr">
        <is>
          <t>EST-0201</t>
        </is>
      </c>
      <c r="E1217" s="80" t="inlineStr">
        <is>
          <t>MODULO INTERFASE ET200SP IM155-6 PN ST</t>
        </is>
      </c>
      <c r="F1217" s="67" t="inlineStr">
        <is>
          <t>UN</t>
        </is>
      </c>
      <c r="G1217" s="84" t="n">
        <v>1</v>
      </c>
      <c r="H1217" s="57" t="inlineStr"/>
      <c r="I1217" s="139" t="n">
        <v>1266.2</v>
      </c>
      <c r="J1217" s="140" t="n">
        <v>44.24</v>
      </c>
      <c r="K1217" s="86" t="inlineStr">
        <is>
          <t>PEN</t>
        </is>
      </c>
    </row>
    <row r="1218">
      <c r="A1218" s="84" t="n">
        <v>33036105</v>
      </c>
      <c r="B1218" s="67" t="inlineStr">
        <is>
          <t>TPSU</t>
        </is>
      </c>
      <c r="C1218" s="90" t="inlineStr">
        <is>
          <t>L001</t>
        </is>
      </c>
      <c r="D1218" s="84" t="inlineStr">
        <is>
          <t>EST-0201</t>
        </is>
      </c>
      <c r="E1218" s="80" t="inlineStr">
        <is>
          <t>POSICIONADOR NEUM. ROT.0-90º PPR</t>
        </is>
      </c>
      <c r="F1218" s="67" t="inlineStr">
        <is>
          <t>UN</t>
        </is>
      </c>
      <c r="G1218" s="84" t="n">
        <v>1</v>
      </c>
      <c r="H1218" s="57" t="inlineStr"/>
      <c r="I1218" s="139" t="n">
        <v>1582.22</v>
      </c>
      <c r="J1218" s="140" t="n">
        <v>44.24</v>
      </c>
      <c r="K1218" s="86" t="inlineStr">
        <is>
          <t>PEN</t>
        </is>
      </c>
    </row>
    <row r="1219">
      <c r="A1219" s="84" t="n">
        <v>33039140</v>
      </c>
      <c r="B1219" s="67" t="inlineStr">
        <is>
          <t>TPSU</t>
        </is>
      </c>
      <c r="C1219" s="90" t="inlineStr">
        <is>
          <t>L001</t>
        </is>
      </c>
      <c r="D1219" s="84" t="inlineStr">
        <is>
          <t>EST-0201</t>
        </is>
      </c>
      <c r="E1219" s="80" t="inlineStr">
        <is>
          <t>TERMINAL INPUT ANALOG ET200SP 4I-2/4WIRE</t>
        </is>
      </c>
      <c r="F1219" s="67" t="inlineStr">
        <is>
          <t>UN</t>
        </is>
      </c>
      <c r="G1219" s="84" t="n">
        <v>1</v>
      </c>
      <c r="H1219" s="57" t="inlineStr"/>
      <c r="I1219" s="139" t="n">
        <v>362.53</v>
      </c>
      <c r="J1219" s="140" t="n">
        <v>44.24</v>
      </c>
      <c r="K1219" s="86" t="inlineStr">
        <is>
          <t>PEN</t>
        </is>
      </c>
    </row>
    <row r="1220">
      <c r="A1220" s="84" t="n">
        <v>33039150</v>
      </c>
      <c r="B1220" s="67" t="inlineStr">
        <is>
          <t>TPSU</t>
        </is>
      </c>
      <c r="C1220" s="90" t="inlineStr">
        <is>
          <t>L001</t>
        </is>
      </c>
      <c r="D1220" s="84" t="inlineStr">
        <is>
          <t>EST-0201</t>
        </is>
      </c>
      <c r="E1220" s="80" t="inlineStr">
        <is>
          <t>TERMINAL OUTPUT ANALOG ET200SP 4U/I ST</t>
        </is>
      </c>
      <c r="F1220" s="67" t="inlineStr">
        <is>
          <t>UN</t>
        </is>
      </c>
      <c r="G1220" s="84" t="n">
        <v>1</v>
      </c>
      <c r="H1220" s="57" t="inlineStr"/>
      <c r="I1220" s="139" t="n">
        <v>687.77</v>
      </c>
      <c r="J1220" s="140" t="n">
        <v>58.24375</v>
      </c>
      <c r="K1220" s="86" t="inlineStr">
        <is>
          <t>PEN</t>
        </is>
      </c>
    </row>
    <row r="1221">
      <c r="A1221" s="84" t="n">
        <v>33032140</v>
      </c>
      <c r="B1221" s="67" t="inlineStr">
        <is>
          <t>TPSU</t>
        </is>
      </c>
      <c r="C1221" s="90" t="inlineStr">
        <is>
          <t>L001</t>
        </is>
      </c>
      <c r="D1221" s="84" t="inlineStr">
        <is>
          <t>EST-0202</t>
        </is>
      </c>
      <c r="E1221" s="80" t="inlineStr">
        <is>
          <t>ELEMENTO FLEX. P/ACOPLE OMEGA E40</t>
        </is>
      </c>
      <c r="F1221" s="67" t="inlineStr">
        <is>
          <t>UN</t>
        </is>
      </c>
      <c r="G1221" s="84" t="n">
        <v>1</v>
      </c>
      <c r="H1221" s="57" t="inlineStr"/>
      <c r="I1221" s="139" t="n">
        <v>625.47</v>
      </c>
      <c r="J1221" s="140" t="n">
        <v>67.69166666666666</v>
      </c>
      <c r="K1221" s="86" t="inlineStr">
        <is>
          <t>PEN</t>
        </is>
      </c>
    </row>
    <row r="1222">
      <c r="A1222" s="84" t="n">
        <v>33032142</v>
      </c>
      <c r="B1222" s="67" t="inlineStr">
        <is>
          <t>TPSU</t>
        </is>
      </c>
      <c r="C1222" s="90" t="inlineStr">
        <is>
          <t>L001</t>
        </is>
      </c>
      <c r="D1222" s="84" t="inlineStr">
        <is>
          <t>EST-0202</t>
        </is>
      </c>
      <c r="E1222" s="80" t="inlineStr">
        <is>
          <t>ELEMENTO FLEX. P/ACOPLE OMEGA E50</t>
        </is>
      </c>
      <c r="F1222" s="67" t="inlineStr">
        <is>
          <t>UN</t>
        </is>
      </c>
      <c r="G1222" s="84" t="n">
        <v>1</v>
      </c>
      <c r="H1222" s="57" t="inlineStr"/>
      <c r="I1222" s="139" t="n">
        <v>739.96</v>
      </c>
      <c r="J1222" s="140" t="n">
        <v>31.16</v>
      </c>
      <c r="K1222" s="86" t="inlineStr">
        <is>
          <t>PEN</t>
        </is>
      </c>
    </row>
    <row r="1223">
      <c r="A1223" s="84" t="n">
        <v>33033240</v>
      </c>
      <c r="B1223" s="67" t="inlineStr">
        <is>
          <t>TPSU</t>
        </is>
      </c>
      <c r="C1223" s="90" t="inlineStr">
        <is>
          <t>L001</t>
        </is>
      </c>
      <c r="D1223" s="84" t="inlineStr">
        <is>
          <t>EST-0202</t>
        </is>
      </c>
      <c r="E1223" s="80" t="inlineStr">
        <is>
          <t>FLEXIBLE ELEMENT OMEGA E60 7300050</t>
        </is>
      </c>
      <c r="F1223" s="67" t="inlineStr">
        <is>
          <t>UN</t>
        </is>
      </c>
      <c r="G1223" s="84" t="n">
        <v>1</v>
      </c>
      <c r="H1223" s="57" t="inlineStr"/>
      <c r="I1223" s="139" t="n">
        <v>882.08</v>
      </c>
      <c r="J1223" s="140" t="n">
        <v>31.16666666666667</v>
      </c>
      <c r="K1223" s="86" t="inlineStr">
        <is>
          <t>PEN</t>
        </is>
      </c>
    </row>
    <row r="1224">
      <c r="A1224" s="84" t="n">
        <v>30000465</v>
      </c>
      <c r="B1224" s="67" t="inlineStr">
        <is>
          <t>TPSU</t>
        </is>
      </c>
      <c r="C1224" s="90" t="inlineStr">
        <is>
          <t>L001</t>
        </is>
      </c>
      <c r="D1224" s="84" t="inlineStr">
        <is>
          <t>EST-0202</t>
        </is>
      </c>
      <c r="E1224" s="80" t="inlineStr">
        <is>
          <t>GRASA FLOTTWEG 2390.075.00 x 05 KG</t>
        </is>
      </c>
      <c r="F1224" s="67" t="inlineStr">
        <is>
          <t>UN</t>
        </is>
      </c>
      <c r="G1224" s="84" t="n">
        <v>1</v>
      </c>
      <c r="H1224" s="57" t="inlineStr">
        <is>
          <t>103006774</t>
        </is>
      </c>
      <c r="I1224" s="139" t="n">
        <v>2803.45</v>
      </c>
      <c r="J1224" s="140" t="n">
        <v>56.335</v>
      </c>
      <c r="K1224" s="86" t="inlineStr">
        <is>
          <t>PEN</t>
        </is>
      </c>
    </row>
    <row r="1225">
      <c r="A1225" s="84" t="n">
        <v>30000465</v>
      </c>
      <c r="B1225" s="67" t="inlineStr">
        <is>
          <t>TPSU</t>
        </is>
      </c>
      <c r="C1225" s="90" t="inlineStr">
        <is>
          <t>L001</t>
        </is>
      </c>
      <c r="D1225" s="84" t="inlineStr">
        <is>
          <t>EST-0202</t>
        </is>
      </c>
      <c r="E1225" s="80" t="inlineStr">
        <is>
          <t>GRASA FLOTTWEG 2390.075.00 x 05 KG</t>
        </is>
      </c>
      <c r="F1225" s="67" t="inlineStr">
        <is>
          <t>UN</t>
        </is>
      </c>
      <c r="G1225" s="84" t="n">
        <v>1</v>
      </c>
      <c r="H1225" s="57" t="inlineStr">
        <is>
          <t>103168283</t>
        </is>
      </c>
      <c r="I1225" s="139" t="n">
        <v>2803.45</v>
      </c>
      <c r="J1225" s="140" t="n">
        <v>36.58333333333334</v>
      </c>
      <c r="K1225" s="86" t="inlineStr">
        <is>
          <t>PEN</t>
        </is>
      </c>
    </row>
    <row r="1226">
      <c r="A1226" s="84" t="n">
        <v>30000501</v>
      </c>
      <c r="B1226" s="67" t="inlineStr">
        <is>
          <t>TPSU</t>
        </is>
      </c>
      <c r="C1226" s="90" t="inlineStr">
        <is>
          <t>L001</t>
        </is>
      </c>
      <c r="D1226" s="84" t="inlineStr">
        <is>
          <t>EST-0203</t>
        </is>
      </c>
      <c r="E1226" s="80" t="inlineStr">
        <is>
          <t>KLUBERSYNTH GEAR OIL - Z73</t>
        </is>
      </c>
      <c r="F1226" s="67" t="inlineStr">
        <is>
          <t>L</t>
        </is>
      </c>
      <c r="G1226" s="84" t="n">
        <v>10</v>
      </c>
      <c r="H1226" s="57" t="inlineStr">
        <is>
          <t>0218025</t>
        </is>
      </c>
      <c r="I1226" s="139" t="n">
        <v>4038.51</v>
      </c>
      <c r="J1226" s="140" t="n">
        <v>36.17</v>
      </c>
      <c r="K1226" s="86" t="inlineStr">
        <is>
          <t>PEN</t>
        </is>
      </c>
    </row>
    <row r="1227">
      <c r="A1227" s="84" t="n">
        <v>33037182</v>
      </c>
      <c r="B1227" s="67" t="inlineStr">
        <is>
          <t>TPSU</t>
        </is>
      </c>
      <c r="C1227" s="90" t="inlineStr">
        <is>
          <t>L001</t>
        </is>
      </c>
      <c r="D1227" s="84" t="inlineStr">
        <is>
          <t>EST-0203</t>
        </is>
      </c>
      <c r="E1227" s="80" t="inlineStr">
        <is>
          <t>RODAMIENTO 22217 EK</t>
        </is>
      </c>
      <c r="F1227" s="67" t="inlineStr">
        <is>
          <t>UN</t>
        </is>
      </c>
      <c r="G1227" s="84" t="n">
        <v>2</v>
      </c>
      <c r="H1227" s="57" t="inlineStr"/>
      <c r="I1227" s="139" t="n">
        <v>799.34</v>
      </c>
      <c r="J1227" s="140" t="n">
        <v>44.33</v>
      </c>
      <c r="K1227" s="86" t="inlineStr">
        <is>
          <t>PEN</t>
        </is>
      </c>
    </row>
    <row r="1228">
      <c r="A1228" s="84" t="n">
        <v>33037263</v>
      </c>
      <c r="B1228" s="67" t="inlineStr">
        <is>
          <t>TPSU</t>
        </is>
      </c>
      <c r="C1228" s="90" t="inlineStr">
        <is>
          <t>L001</t>
        </is>
      </c>
      <c r="D1228" s="84" t="inlineStr">
        <is>
          <t>EST-0203</t>
        </is>
      </c>
      <c r="E1228" s="80" t="inlineStr">
        <is>
          <t>RODAMIENTO 25580/25520/Q</t>
        </is>
      </c>
      <c r="F1228" s="67" t="inlineStr">
        <is>
          <t>UN</t>
        </is>
      </c>
      <c r="G1228" s="84" t="n">
        <v>2</v>
      </c>
      <c r="H1228" s="57" t="inlineStr"/>
      <c r="I1228" s="139" t="n">
        <v>124.07</v>
      </c>
      <c r="J1228" s="140" t="n">
        <v>35.07666666666667</v>
      </c>
      <c r="K1228" s="86" t="inlineStr">
        <is>
          <t>PEN</t>
        </is>
      </c>
    </row>
    <row r="1229">
      <c r="A1229" s="84" t="n">
        <v>33041132</v>
      </c>
      <c r="B1229" s="67" t="inlineStr">
        <is>
          <t>TPSU</t>
        </is>
      </c>
      <c r="C1229" s="90" t="inlineStr">
        <is>
          <t>L001</t>
        </is>
      </c>
      <c r="D1229" s="84" t="inlineStr">
        <is>
          <t>EST-0203</t>
        </is>
      </c>
      <c r="E1229" s="80" t="inlineStr">
        <is>
          <t>RODAMIENTO 6308-2Z/C3</t>
        </is>
      </c>
      <c r="F1229" s="67" t="inlineStr">
        <is>
          <t>UN</t>
        </is>
      </c>
      <c r="G1229" s="84" t="n">
        <v>2</v>
      </c>
      <c r="H1229" s="57" t="inlineStr"/>
      <c r="I1229" s="139" t="n">
        <v>99.58</v>
      </c>
      <c r="J1229" s="140" t="n">
        <v>58.126</v>
      </c>
      <c r="K1229" s="86" t="inlineStr">
        <is>
          <t>PEN</t>
        </is>
      </c>
    </row>
    <row r="1230">
      <c r="A1230" s="84" t="n">
        <v>33031090</v>
      </c>
      <c r="B1230" s="67" t="inlineStr">
        <is>
          <t>TPSU</t>
        </is>
      </c>
      <c r="C1230" s="90" t="inlineStr">
        <is>
          <t>L001</t>
        </is>
      </c>
      <c r="D1230" s="84" t="inlineStr">
        <is>
          <t>EST-0204</t>
        </is>
      </c>
      <c r="E1230" s="80" t="inlineStr">
        <is>
          <t>CHUMACERA PARED PESADA UCF 315-75 MM</t>
        </is>
      </c>
      <c r="F1230" s="67" t="inlineStr">
        <is>
          <t>UN</t>
        </is>
      </c>
      <c r="G1230" s="84" t="n">
        <v>2</v>
      </c>
      <c r="H1230" s="57" t="inlineStr"/>
      <c r="I1230" s="139" t="n">
        <v>905.4</v>
      </c>
      <c r="J1230" s="140" t="n">
        <v>58.13</v>
      </c>
      <c r="K1230" s="86" t="inlineStr">
        <is>
          <t>PEN</t>
        </is>
      </c>
    </row>
    <row r="1231">
      <c r="A1231" s="84" t="n">
        <v>33037208</v>
      </c>
      <c r="B1231" s="67" t="inlineStr">
        <is>
          <t>TPSU</t>
        </is>
      </c>
      <c r="C1231" s="90" t="inlineStr">
        <is>
          <t>L001</t>
        </is>
      </c>
      <c r="D1231" s="84" t="inlineStr">
        <is>
          <t>EST-0204</t>
        </is>
      </c>
      <c r="E1231" s="80" t="inlineStr">
        <is>
          <t>RODAMIENTO 22316 E</t>
        </is>
      </c>
      <c r="F1231" s="67" t="inlineStr">
        <is>
          <t>UN</t>
        </is>
      </c>
      <c r="G1231" s="84" t="n">
        <v>1</v>
      </c>
      <c r="H1231" s="57" t="inlineStr"/>
      <c r="I1231" s="139" t="n">
        <v>558.72</v>
      </c>
      <c r="J1231" s="140" t="n">
        <v>63.86</v>
      </c>
      <c r="K1231" s="86" t="inlineStr">
        <is>
          <t>PEN</t>
        </is>
      </c>
    </row>
    <row r="1232">
      <c r="A1232" s="84" t="n">
        <v>33037223</v>
      </c>
      <c r="B1232" s="67" t="inlineStr">
        <is>
          <t>TPSU</t>
        </is>
      </c>
      <c r="C1232" s="90" t="inlineStr">
        <is>
          <t>L001</t>
        </is>
      </c>
      <c r="D1232" s="84" t="inlineStr">
        <is>
          <t>EST-0204</t>
        </is>
      </c>
      <c r="E1232" s="80" t="inlineStr">
        <is>
          <t>RODAMIENTO 22320 EK</t>
        </is>
      </c>
      <c r="F1232" s="67" t="inlineStr">
        <is>
          <t>UN</t>
        </is>
      </c>
      <c r="G1232" s="84" t="n">
        <v>1</v>
      </c>
      <c r="H1232" s="57" t="inlineStr"/>
      <c r="I1232" s="139" t="n">
        <v>1216.21</v>
      </c>
      <c r="J1232" s="140" t="n">
        <v>63.855</v>
      </c>
      <c r="K1232" s="86" t="inlineStr">
        <is>
          <t>PEN</t>
        </is>
      </c>
    </row>
    <row r="1233">
      <c r="A1233" s="84" t="n">
        <v>33037224</v>
      </c>
      <c r="B1233" s="67" t="inlineStr">
        <is>
          <t>TPSU</t>
        </is>
      </c>
      <c r="C1233" s="90" t="inlineStr">
        <is>
          <t>L001</t>
        </is>
      </c>
      <c r="D1233" s="84" t="inlineStr">
        <is>
          <t>EST-0204</t>
        </is>
      </c>
      <c r="E1233" s="80" t="inlineStr">
        <is>
          <t>RODAMIENTO 22322 E</t>
        </is>
      </c>
      <c r="F1233" s="67" t="inlineStr">
        <is>
          <t>UN</t>
        </is>
      </c>
      <c r="G1233" s="84" t="n">
        <v>1</v>
      </c>
      <c r="H1233" s="57" t="inlineStr"/>
      <c r="I1233" s="139" t="n">
        <v>1979.04</v>
      </c>
      <c r="J1233" s="140" t="n">
        <v>63.85599999999999</v>
      </c>
      <c r="K1233" s="86" t="inlineStr">
        <is>
          <t>PEN</t>
        </is>
      </c>
    </row>
    <row r="1234">
      <c r="A1234" s="84" t="n">
        <v>33034767</v>
      </c>
      <c r="B1234" s="67" t="inlineStr">
        <is>
          <t>TPSU</t>
        </is>
      </c>
      <c r="C1234" s="90" t="inlineStr">
        <is>
          <t>L001</t>
        </is>
      </c>
      <c r="D1234" s="84" t="inlineStr">
        <is>
          <t>EST-0205</t>
        </is>
      </c>
      <c r="E1234" s="80" t="inlineStr">
        <is>
          <t>MANG.FLEX.MALLA 3''X600MM INOX. BRD AN</t>
        </is>
      </c>
      <c r="F1234" s="67" t="inlineStr">
        <is>
          <t>UN</t>
        </is>
      </c>
      <c r="G1234" s="84" t="n">
        <v>1</v>
      </c>
      <c r="H1234" s="57" t="inlineStr"/>
      <c r="I1234" s="139" t="n">
        <v>1008.72</v>
      </c>
      <c r="J1234" s="140" t="n">
        <v>63.855</v>
      </c>
      <c r="K1234" s="86" t="inlineStr">
        <is>
          <t>PEN</t>
        </is>
      </c>
    </row>
    <row r="1235">
      <c r="A1235" s="84" t="n">
        <v>33034764</v>
      </c>
      <c r="B1235" s="67" t="inlineStr">
        <is>
          <t>TPSU</t>
        </is>
      </c>
      <c r="C1235" s="90" t="inlineStr">
        <is>
          <t>L001</t>
        </is>
      </c>
      <c r="D1235" s="84" t="inlineStr">
        <is>
          <t>EST-0205</t>
        </is>
      </c>
      <c r="E1235" s="80" t="inlineStr">
        <is>
          <t>MANG.FLEX.MALLA 4''X600MM INOX. BRD</t>
        </is>
      </c>
      <c r="F1235" s="67" t="inlineStr">
        <is>
          <t>UN</t>
        </is>
      </c>
      <c r="G1235" s="84" t="n">
        <v>2</v>
      </c>
      <c r="H1235" s="57" t="inlineStr"/>
      <c r="I1235" s="139" t="n">
        <v>2542.42</v>
      </c>
      <c r="J1235" s="140" t="n">
        <v>69.39</v>
      </c>
      <c r="K1235" s="86" t="inlineStr">
        <is>
          <t>PEN</t>
        </is>
      </c>
    </row>
    <row r="1236">
      <c r="A1236" s="84" t="n">
        <v>33034779</v>
      </c>
      <c r="B1236" s="67" t="inlineStr">
        <is>
          <t>TPSU</t>
        </is>
      </c>
      <c r="C1236" s="90" t="inlineStr">
        <is>
          <t>L001</t>
        </is>
      </c>
      <c r="D1236" s="84" t="inlineStr">
        <is>
          <t>EST-0207</t>
        </is>
      </c>
      <c r="E1236" s="80" t="inlineStr">
        <is>
          <t>MANG.FLEX.MALLA 6''X735MM INOX. BRD ANSI</t>
        </is>
      </c>
      <c r="F1236" s="67" t="inlineStr">
        <is>
          <t>UN</t>
        </is>
      </c>
      <c r="G1236" s="84" t="n">
        <v>1</v>
      </c>
      <c r="H1236" s="57" t="inlineStr"/>
      <c r="I1236" s="139" t="n">
        <v>2002.93</v>
      </c>
      <c r="J1236" s="140" t="n">
        <v>662.99</v>
      </c>
      <c r="K1236" s="86" t="inlineStr">
        <is>
          <t>PEN</t>
        </is>
      </c>
    </row>
    <row r="1237">
      <c r="A1237" s="84" t="n">
        <v>33032617</v>
      </c>
      <c r="B1237" s="67" t="inlineStr">
        <is>
          <t>TPSU</t>
        </is>
      </c>
      <c r="C1237" s="90" t="inlineStr">
        <is>
          <t>L001</t>
        </is>
      </c>
      <c r="D1237" s="84" t="inlineStr">
        <is>
          <t>EST-0301</t>
        </is>
      </c>
      <c r="E1237" s="80" t="inlineStr">
        <is>
          <t>FAJA V AX-59</t>
        </is>
      </c>
      <c r="F1237" s="67" t="inlineStr">
        <is>
          <t>UN</t>
        </is>
      </c>
      <c r="G1237" s="84" t="n">
        <v>1</v>
      </c>
      <c r="H1237" s="57" t="inlineStr">
        <is>
          <t>G-0818215</t>
        </is>
      </c>
      <c r="I1237" s="139" t="n">
        <v>22</v>
      </c>
      <c r="J1237" s="140" t="n">
        <v>609.22</v>
      </c>
      <c r="K1237" s="86" t="inlineStr">
        <is>
          <t>PEN</t>
        </is>
      </c>
    </row>
    <row r="1238">
      <c r="A1238" s="84" t="n">
        <v>33032617</v>
      </c>
      <c r="B1238" s="67" t="inlineStr">
        <is>
          <t>TPSU</t>
        </is>
      </c>
      <c r="C1238" s="90" t="inlineStr">
        <is>
          <t>L001</t>
        </is>
      </c>
      <c r="D1238" s="84" t="inlineStr">
        <is>
          <t>EST-0301</t>
        </is>
      </c>
      <c r="E1238" s="80" t="inlineStr">
        <is>
          <t>FAJA V AX-59</t>
        </is>
      </c>
      <c r="F1238" s="67" t="inlineStr">
        <is>
          <t>UN</t>
        </is>
      </c>
      <c r="G1238" s="84" t="n">
        <v>4</v>
      </c>
      <c r="H1238" s="57" t="inlineStr">
        <is>
          <t>G40812344</t>
        </is>
      </c>
      <c r="I1238" s="139" t="n">
        <v>88.02</v>
      </c>
      <c r="J1238" s="140" t="n">
        <v>8.218999999999999</v>
      </c>
      <c r="K1238" s="86" t="inlineStr">
        <is>
          <t>PEN</t>
        </is>
      </c>
    </row>
    <row r="1239">
      <c r="A1239" s="84" t="n">
        <v>33042412</v>
      </c>
      <c r="B1239" s="67" t="inlineStr">
        <is>
          <t>TPSU</t>
        </is>
      </c>
      <c r="C1239" s="90" t="inlineStr">
        <is>
          <t>L001</t>
        </is>
      </c>
      <c r="D1239" s="84" t="inlineStr">
        <is>
          <t>EST-0301</t>
        </is>
      </c>
      <c r="E1239" s="80" t="inlineStr">
        <is>
          <t>FAJA V B-51</t>
        </is>
      </c>
      <c r="F1239" s="67" t="inlineStr">
        <is>
          <t>UN</t>
        </is>
      </c>
      <c r="G1239" s="84" t="n">
        <v>3</v>
      </c>
      <c r="H1239" s="57" t="inlineStr">
        <is>
          <t>G4-822637</t>
        </is>
      </c>
      <c r="I1239" s="139" t="n">
        <v>52.64</v>
      </c>
      <c r="J1239" s="140" t="n">
        <v>8.218999999999999</v>
      </c>
      <c r="K1239" s="86" t="inlineStr">
        <is>
          <t>PEN</t>
        </is>
      </c>
    </row>
    <row r="1240">
      <c r="A1240" s="84" t="n">
        <v>33032654</v>
      </c>
      <c r="B1240" s="67" t="inlineStr">
        <is>
          <t>TPSU</t>
        </is>
      </c>
      <c r="C1240" s="90" t="inlineStr">
        <is>
          <t>L001</t>
        </is>
      </c>
      <c r="D1240" s="84" t="inlineStr">
        <is>
          <t>EST-0301</t>
        </is>
      </c>
      <c r="E1240" s="80" t="inlineStr">
        <is>
          <t>FAJA V B-87</t>
        </is>
      </c>
      <c r="F1240" s="67" t="inlineStr">
        <is>
          <t>UN</t>
        </is>
      </c>
      <c r="G1240" s="84" t="n">
        <v>1</v>
      </c>
      <c r="H1240" s="57" t="inlineStr">
        <is>
          <t>01.05.2021</t>
        </is>
      </c>
      <c r="I1240" s="139" t="n">
        <v>23.65</v>
      </c>
      <c r="J1240" s="140" t="n">
        <v>36.025</v>
      </c>
      <c r="K1240" s="86" t="inlineStr">
        <is>
          <t>PEN</t>
        </is>
      </c>
    </row>
    <row r="1241">
      <c r="A1241" s="84" t="n">
        <v>33032654</v>
      </c>
      <c r="B1241" s="67" t="inlineStr">
        <is>
          <t>TPSU</t>
        </is>
      </c>
      <c r="C1241" s="90" t="inlineStr">
        <is>
          <t>L001</t>
        </is>
      </c>
      <c r="D1241" s="84" t="inlineStr">
        <is>
          <t>EST-0301</t>
        </is>
      </c>
      <c r="E1241" s="80" t="inlineStr">
        <is>
          <t>FAJA V B-87</t>
        </is>
      </c>
      <c r="F1241" s="67" t="inlineStr">
        <is>
          <t>UN</t>
        </is>
      </c>
      <c r="G1241" s="84" t="n">
        <v>3</v>
      </c>
      <c r="H1241" s="57" t="inlineStr">
        <is>
          <t>0769944</t>
        </is>
      </c>
      <c r="I1241" s="139" t="n">
        <v>70.95999999999999</v>
      </c>
      <c r="J1241" s="140" t="n">
        <v>36.025</v>
      </c>
      <c r="K1241" s="86" t="inlineStr">
        <is>
          <t>PEN</t>
        </is>
      </c>
    </row>
    <row r="1242">
      <c r="A1242" s="84" t="n">
        <v>33032654</v>
      </c>
      <c r="B1242" s="67" t="inlineStr">
        <is>
          <t>TPSU</t>
        </is>
      </c>
      <c r="C1242" s="90" t="inlineStr">
        <is>
          <t>L001</t>
        </is>
      </c>
      <c r="D1242" s="84" t="inlineStr">
        <is>
          <t>EST-0301</t>
        </is>
      </c>
      <c r="E1242" s="80" t="inlineStr">
        <is>
          <t>FAJA V B-87</t>
        </is>
      </c>
      <c r="F1242" s="67" t="inlineStr">
        <is>
          <t>UN</t>
        </is>
      </c>
      <c r="G1242" s="84" t="n">
        <v>4</v>
      </c>
      <c r="H1242" s="57" t="inlineStr">
        <is>
          <t>GR4676994</t>
        </is>
      </c>
      <c r="I1242" s="139" t="n">
        <v>94.61</v>
      </c>
      <c r="J1242" s="140" t="n">
        <v>23.7375</v>
      </c>
      <c r="K1242" s="86" t="inlineStr">
        <is>
          <t>PEN</t>
        </is>
      </c>
    </row>
    <row r="1243">
      <c r="A1243" s="84" t="n">
        <v>34004684</v>
      </c>
      <c r="B1243" s="67" t="inlineStr">
        <is>
          <t>TPSU</t>
        </is>
      </c>
      <c r="C1243" s="90" t="inlineStr">
        <is>
          <t>L001</t>
        </is>
      </c>
      <c r="D1243" s="84" t="inlineStr">
        <is>
          <t>EST-0301</t>
        </is>
      </c>
      <c r="E1243" s="80" t="inlineStr">
        <is>
          <t>JUNTA 0007-3787-490 (EX-910)</t>
        </is>
      </c>
      <c r="F1243" s="67" t="inlineStr">
        <is>
          <t>UN</t>
        </is>
      </c>
      <c r="G1243" s="84" t="n">
        <v>1</v>
      </c>
      <c r="H1243" s="57" t="inlineStr"/>
      <c r="I1243" s="139" t="n">
        <v>3294.65</v>
      </c>
      <c r="J1243" s="140" t="n">
        <v>59.084</v>
      </c>
      <c r="K1243" s="86" t="inlineStr">
        <is>
          <t>PEN</t>
        </is>
      </c>
    </row>
    <row r="1244">
      <c r="A1244" s="84" t="n">
        <v>34002854</v>
      </c>
      <c r="B1244" s="67" t="inlineStr">
        <is>
          <t>TPSU</t>
        </is>
      </c>
      <c r="C1244" s="90" t="inlineStr">
        <is>
          <t>L001</t>
        </is>
      </c>
      <c r="D1244" s="84" t="inlineStr">
        <is>
          <t>EST-0301</t>
        </is>
      </c>
      <c r="E1244" s="80" t="inlineStr">
        <is>
          <t>SEAL RING 543170 01</t>
        </is>
      </c>
      <c r="F1244" s="67" t="inlineStr">
        <is>
          <t>UN</t>
        </is>
      </c>
      <c r="G1244" s="84" t="n">
        <v>2</v>
      </c>
      <c r="H1244" s="57" t="inlineStr"/>
      <c r="I1244" s="139" t="n">
        <v>3066.54</v>
      </c>
      <c r="J1244" s="140" t="n">
        <v>72.3</v>
      </c>
      <c r="K1244" s="86" t="inlineStr">
        <is>
          <t>PEN</t>
        </is>
      </c>
    </row>
    <row r="1245">
      <c r="A1245" s="84" t="n">
        <v>33032418</v>
      </c>
      <c r="B1245" s="67" t="inlineStr">
        <is>
          <t>TPSU</t>
        </is>
      </c>
      <c r="C1245" s="90" t="inlineStr">
        <is>
          <t>L001</t>
        </is>
      </c>
      <c r="D1245" s="84" t="inlineStr">
        <is>
          <t>EST-0302</t>
        </is>
      </c>
      <c r="E1245" s="80" t="inlineStr">
        <is>
          <t>FAJA 5V-1060 (16-2692)</t>
        </is>
      </c>
      <c r="F1245" s="67" t="inlineStr">
        <is>
          <t>UN</t>
        </is>
      </c>
      <c r="G1245" s="84" t="n">
        <v>7</v>
      </c>
      <c r="H1245" s="57" t="inlineStr">
        <is>
          <t>G40762699</t>
        </is>
      </c>
      <c r="I1245" s="139" t="n">
        <v>333.1</v>
      </c>
      <c r="J1245" s="140" t="n">
        <v>371</v>
      </c>
      <c r="K1245" s="86" t="inlineStr">
        <is>
          <t>PEN</t>
        </is>
      </c>
    </row>
    <row r="1246">
      <c r="A1246" s="84" t="n">
        <v>33032418</v>
      </c>
      <c r="B1246" s="67" t="inlineStr">
        <is>
          <t>TPSU</t>
        </is>
      </c>
      <c r="C1246" s="90" t="inlineStr">
        <is>
          <t>L001</t>
        </is>
      </c>
      <c r="D1246" s="84" t="inlineStr">
        <is>
          <t>EST-0302</t>
        </is>
      </c>
      <c r="E1246" s="80" t="inlineStr">
        <is>
          <t>FAJA 5V-1060 (16-2692)</t>
        </is>
      </c>
      <c r="F1246" s="67" t="inlineStr">
        <is>
          <t>UN</t>
        </is>
      </c>
      <c r="G1246" s="84" t="n">
        <v>12</v>
      </c>
      <c r="H1246" s="57" t="inlineStr">
        <is>
          <t>G4739506</t>
        </is>
      </c>
      <c r="I1246" s="139" t="n">
        <v>571.03</v>
      </c>
      <c r="J1246" s="140" t="n">
        <v>0</v>
      </c>
      <c r="K1246" s="86" t="inlineStr">
        <is>
          <t>PEN</t>
        </is>
      </c>
    </row>
    <row r="1247">
      <c r="A1247" s="84" t="n">
        <v>33032418</v>
      </c>
      <c r="B1247" s="67" t="inlineStr">
        <is>
          <t>TPSU</t>
        </is>
      </c>
      <c r="C1247" s="90" t="inlineStr">
        <is>
          <t>L001</t>
        </is>
      </c>
      <c r="D1247" s="84" t="inlineStr">
        <is>
          <t>EST-0302</t>
        </is>
      </c>
      <c r="E1247" s="80" t="inlineStr">
        <is>
          <t>FAJA 5V-1060 (16-2692)</t>
        </is>
      </c>
      <c r="F1247" s="67" t="inlineStr">
        <is>
          <t>UN</t>
        </is>
      </c>
      <c r="G1247" s="84" t="n">
        <v>1</v>
      </c>
      <c r="H1247" s="57" t="inlineStr">
        <is>
          <t>G4746810</t>
        </is>
      </c>
      <c r="I1247" s="139" t="n">
        <v>47.59</v>
      </c>
      <c r="J1247" s="140" t="n">
        <v>0</v>
      </c>
      <c r="K1247" s="86" t="inlineStr">
        <is>
          <t>PEN</t>
        </is>
      </c>
    </row>
    <row r="1248">
      <c r="A1248" s="84" t="n">
        <v>33032417</v>
      </c>
      <c r="B1248" s="67" t="inlineStr">
        <is>
          <t>TPSU</t>
        </is>
      </c>
      <c r="C1248" s="90" t="inlineStr">
        <is>
          <t>L001</t>
        </is>
      </c>
      <c r="D1248" s="84" t="inlineStr">
        <is>
          <t>EST-0302</t>
        </is>
      </c>
      <c r="E1248" s="80" t="inlineStr">
        <is>
          <t>FAJA 5V1000</t>
        </is>
      </c>
      <c r="F1248" s="67" t="inlineStr">
        <is>
          <t>UN</t>
        </is>
      </c>
      <c r="G1248" s="84" t="n">
        <v>3</v>
      </c>
      <c r="H1248" s="57" t="inlineStr">
        <is>
          <t>28.02.2014</t>
        </is>
      </c>
      <c r="I1248" s="139" t="n">
        <v>132.72</v>
      </c>
      <c r="J1248" s="140" t="n">
        <v>0</v>
      </c>
      <c r="K1248" s="86" t="inlineStr">
        <is>
          <t>PEN</t>
        </is>
      </c>
    </row>
    <row r="1249">
      <c r="A1249" s="84" t="n">
        <v>33032417</v>
      </c>
      <c r="B1249" s="67" t="inlineStr">
        <is>
          <t>TPSU</t>
        </is>
      </c>
      <c r="C1249" s="90" t="inlineStr">
        <is>
          <t>L001</t>
        </is>
      </c>
      <c r="D1249" s="84" t="inlineStr">
        <is>
          <t>EST-0302</t>
        </is>
      </c>
      <c r="E1249" s="80" t="inlineStr">
        <is>
          <t>FAJA 5V1000</t>
        </is>
      </c>
      <c r="F1249" s="67" t="inlineStr">
        <is>
          <t>UN</t>
        </is>
      </c>
      <c r="G1249" s="84" t="n">
        <v>2</v>
      </c>
      <c r="H1249" s="57" t="inlineStr">
        <is>
          <t>28.02.2018</t>
        </is>
      </c>
      <c r="I1249" s="139" t="n">
        <v>88.48</v>
      </c>
      <c r="J1249" s="140" t="n">
        <v>16.3</v>
      </c>
      <c r="K1249" s="86" t="inlineStr">
        <is>
          <t>PEN</t>
        </is>
      </c>
    </row>
    <row r="1250">
      <c r="A1250" s="84" t="n">
        <v>33032417</v>
      </c>
      <c r="B1250" s="67" t="inlineStr">
        <is>
          <t>TPSU</t>
        </is>
      </c>
      <c r="C1250" s="90" t="inlineStr">
        <is>
          <t>L001</t>
        </is>
      </c>
      <c r="D1250" s="84" t="inlineStr">
        <is>
          <t>EST-0302</t>
        </is>
      </c>
      <c r="E1250" s="80" t="inlineStr">
        <is>
          <t>FAJA 5V1000</t>
        </is>
      </c>
      <c r="F1250" s="67" t="inlineStr">
        <is>
          <t>UN</t>
        </is>
      </c>
      <c r="G1250" s="84" t="n">
        <v>1</v>
      </c>
      <c r="H1250" s="57" t="inlineStr">
        <is>
          <t>31.01.2019</t>
        </is>
      </c>
      <c r="I1250" s="139" t="n">
        <v>44.24</v>
      </c>
      <c r="J1250" s="140" t="n">
        <v>19.92845528455284</v>
      </c>
      <c r="K1250" s="86" t="inlineStr">
        <is>
          <t>PEN</t>
        </is>
      </c>
    </row>
    <row r="1251">
      <c r="A1251" s="84" t="n">
        <v>33032417</v>
      </c>
      <c r="B1251" s="67" t="inlineStr">
        <is>
          <t>TPSU</t>
        </is>
      </c>
      <c r="C1251" s="90" t="inlineStr">
        <is>
          <t>L001</t>
        </is>
      </c>
      <c r="D1251" s="84" t="inlineStr">
        <is>
          <t>EST-0302</t>
        </is>
      </c>
      <c r="E1251" s="80" t="inlineStr">
        <is>
          <t>FAJA 5V1000</t>
        </is>
      </c>
      <c r="F1251" s="67" t="inlineStr">
        <is>
          <t>UN</t>
        </is>
      </c>
      <c r="G1251" s="84" t="n">
        <v>1</v>
      </c>
      <c r="H1251" s="57" t="inlineStr">
        <is>
          <t>G4780149</t>
        </is>
      </c>
      <c r="I1251" s="139" t="n">
        <v>44.24</v>
      </c>
      <c r="J1251" s="140" t="n">
        <v>19.92838926174496</v>
      </c>
      <c r="K1251" s="86" t="inlineStr">
        <is>
          <t>PEN</t>
        </is>
      </c>
    </row>
    <row r="1252">
      <c r="A1252" s="84" t="n">
        <v>33032454</v>
      </c>
      <c r="B1252" s="67" t="inlineStr">
        <is>
          <t>TPSU</t>
        </is>
      </c>
      <c r="C1252" s="90" t="inlineStr">
        <is>
          <t>L001</t>
        </is>
      </c>
      <c r="D1252" s="84" t="inlineStr">
        <is>
          <t>EST-0302</t>
        </is>
      </c>
      <c r="E1252" s="80" t="inlineStr">
        <is>
          <t>FAJA 5VX850</t>
        </is>
      </c>
      <c r="F1252" s="67" t="inlineStr">
        <is>
          <t>UN</t>
        </is>
      </c>
      <c r="G1252" s="84" t="n">
        <v>8</v>
      </c>
      <c r="H1252" s="57" t="inlineStr">
        <is>
          <t>052020</t>
        </is>
      </c>
      <c r="I1252" s="139" t="n">
        <v>465.95</v>
      </c>
      <c r="J1252" s="140" t="n">
        <v>5.869423201555412</v>
      </c>
      <c r="K1252" s="86" t="inlineStr">
        <is>
          <t>PEN</t>
        </is>
      </c>
    </row>
    <row r="1253">
      <c r="A1253" s="84" t="n">
        <v>33032424</v>
      </c>
      <c r="B1253" s="67" t="inlineStr">
        <is>
          <t>TPSU</t>
        </is>
      </c>
      <c r="C1253" s="90" t="inlineStr">
        <is>
          <t>L001</t>
        </is>
      </c>
      <c r="D1253" s="84" t="inlineStr">
        <is>
          <t>EST-0303</t>
        </is>
      </c>
      <c r="E1253" s="80" t="inlineStr">
        <is>
          <t>FAJA 5V1400</t>
        </is>
      </c>
      <c r="F1253" s="67" t="inlineStr">
        <is>
          <t>UN</t>
        </is>
      </c>
      <c r="G1253" s="84" t="n">
        <v>6</v>
      </c>
      <c r="H1253" s="57" t="inlineStr">
        <is>
          <t>04-0769520</t>
        </is>
      </c>
      <c r="I1253" s="139" t="n">
        <v>406.15</v>
      </c>
      <c r="J1253" s="140" t="n">
        <v>3.172784072580645</v>
      </c>
      <c r="K1253" s="86" t="inlineStr">
        <is>
          <t>PEN</t>
        </is>
      </c>
    </row>
    <row r="1254">
      <c r="A1254" s="84" t="n">
        <v>33032525</v>
      </c>
      <c r="B1254" s="67" t="inlineStr">
        <is>
          <t>TPSU</t>
        </is>
      </c>
      <c r="C1254" s="90" t="inlineStr">
        <is>
          <t>L001</t>
        </is>
      </c>
      <c r="D1254" s="84" t="inlineStr">
        <is>
          <t>EST-0303</t>
        </is>
      </c>
      <c r="E1254" s="80" t="inlineStr">
        <is>
          <t>FAJA DENTADA XPB-1500</t>
        </is>
      </c>
      <c r="F1254" s="67" t="inlineStr">
        <is>
          <t>UN</t>
        </is>
      </c>
      <c r="G1254" s="84" t="n">
        <v>1</v>
      </c>
      <c r="H1254" s="57" t="inlineStr">
        <is>
          <t>004-074659</t>
        </is>
      </c>
      <c r="I1254" s="139" t="n">
        <v>31.16</v>
      </c>
      <c r="J1254" s="140" t="n">
        <v>0</v>
      </c>
      <c r="K1254" s="86" t="inlineStr">
        <is>
          <t>PEN</t>
        </is>
      </c>
    </row>
    <row r="1255">
      <c r="A1255" s="84" t="n">
        <v>33032525</v>
      </c>
      <c r="B1255" s="67" t="inlineStr">
        <is>
          <t>TPSU</t>
        </is>
      </c>
      <c r="C1255" s="90" t="inlineStr">
        <is>
          <t>L001</t>
        </is>
      </c>
      <c r="D1255" s="84" t="inlineStr">
        <is>
          <t>EST-0303</t>
        </is>
      </c>
      <c r="E1255" s="80" t="inlineStr">
        <is>
          <t>FAJA DENTADA XPB-1500</t>
        </is>
      </c>
      <c r="F1255" s="67" t="inlineStr">
        <is>
          <t>UN</t>
        </is>
      </c>
      <c r="G1255" s="84" t="n">
        <v>3</v>
      </c>
      <c r="H1255" s="57" t="inlineStr">
        <is>
          <t>01.09.2020</t>
        </is>
      </c>
      <c r="I1255" s="139" t="n">
        <v>93.5</v>
      </c>
      <c r="J1255" s="140" t="n">
        <v>0</v>
      </c>
      <c r="K1255" s="86" t="inlineStr">
        <is>
          <t>PEN</t>
        </is>
      </c>
    </row>
    <row r="1256">
      <c r="A1256" s="84" t="n">
        <v>33032671</v>
      </c>
      <c r="B1256" s="67" t="inlineStr">
        <is>
          <t>TPSU</t>
        </is>
      </c>
      <c r="C1256" s="90" t="inlineStr">
        <is>
          <t>L001</t>
        </is>
      </c>
      <c r="D1256" s="84" t="inlineStr">
        <is>
          <t>EST-0303</t>
        </is>
      </c>
      <c r="E1256" s="80" t="inlineStr">
        <is>
          <t>FAJA V C-140</t>
        </is>
      </c>
      <c r="F1256" s="67" t="inlineStr">
        <is>
          <t>UN</t>
        </is>
      </c>
      <c r="G1256" s="84" t="n">
        <v>4</v>
      </c>
      <c r="H1256" s="57" t="inlineStr">
        <is>
          <t>GR48659</t>
        </is>
      </c>
      <c r="I1256" s="139" t="n">
        <v>225.34</v>
      </c>
      <c r="J1256" s="140" t="n">
        <v>0</v>
      </c>
      <c r="K1256" s="86" t="inlineStr">
        <is>
          <t>PEN</t>
        </is>
      </c>
    </row>
    <row r="1257">
      <c r="A1257" s="84" t="n">
        <v>33032694</v>
      </c>
      <c r="B1257" s="67" t="inlineStr">
        <is>
          <t>TPSU</t>
        </is>
      </c>
      <c r="C1257" s="90" t="inlineStr">
        <is>
          <t>L001</t>
        </is>
      </c>
      <c r="D1257" s="84" t="inlineStr">
        <is>
          <t>EST-0303</t>
        </is>
      </c>
      <c r="E1257" s="80" t="inlineStr">
        <is>
          <t>FAJA XPA1550</t>
        </is>
      </c>
      <c r="F1257" s="67" t="inlineStr">
        <is>
          <t>UN</t>
        </is>
      </c>
      <c r="G1257" s="84" t="n">
        <v>3</v>
      </c>
      <c r="H1257" s="57" t="inlineStr">
        <is>
          <t>G004-08268</t>
        </is>
      </c>
      <c r="I1257" s="139" t="n">
        <v>109.75</v>
      </c>
      <c r="J1257" s="140" t="n">
        <v>0</v>
      </c>
      <c r="K1257" s="86" t="inlineStr">
        <is>
          <t>PEN</t>
        </is>
      </c>
    </row>
    <row r="1258">
      <c r="A1258" s="84" t="n">
        <v>33032523</v>
      </c>
      <c r="B1258" s="67" t="inlineStr">
        <is>
          <t>TPSU</t>
        </is>
      </c>
      <c r="C1258" s="90" t="inlineStr">
        <is>
          <t>L001</t>
        </is>
      </c>
      <c r="D1258" s="84" t="inlineStr">
        <is>
          <t>EST-0304</t>
        </is>
      </c>
      <c r="E1258" s="80" t="inlineStr">
        <is>
          <t>FAJA DENTADA XPA-2120</t>
        </is>
      </c>
      <c r="F1258" s="67" t="inlineStr">
        <is>
          <t>UN</t>
        </is>
      </c>
      <c r="G1258" s="84" t="n">
        <v>2</v>
      </c>
      <c r="H1258" s="57" t="inlineStr">
        <is>
          <t>092021</t>
        </is>
      </c>
      <c r="I1258" s="139" t="n">
        <v>72.34</v>
      </c>
      <c r="J1258" s="140" t="n">
        <v>0</v>
      </c>
      <c r="K1258" s="86" t="inlineStr">
        <is>
          <t>PEN</t>
        </is>
      </c>
    </row>
    <row r="1259">
      <c r="A1259" s="84" t="n">
        <v>33032696</v>
      </c>
      <c r="B1259" s="82" t="inlineStr">
        <is>
          <t>TPSU</t>
        </is>
      </c>
      <c r="C1259" s="82" t="inlineStr">
        <is>
          <t>L001</t>
        </is>
      </c>
      <c r="D1259" s="84" t="inlineStr">
        <is>
          <t>EST-0304</t>
        </is>
      </c>
      <c r="E1259" s="80" t="inlineStr">
        <is>
          <t>FAJA XPA1850</t>
        </is>
      </c>
      <c r="F1259" s="67" t="inlineStr">
        <is>
          <t>UN</t>
        </is>
      </c>
      <c r="G1259" s="84" t="n">
        <v>2</v>
      </c>
      <c r="H1259" s="57" t="inlineStr">
        <is>
          <t>7205369171</t>
        </is>
      </c>
      <c r="I1259" s="139" t="n">
        <v>88.66</v>
      </c>
      <c r="J1259" s="140" t="n">
        <v>0</v>
      </c>
      <c r="K1259" s="86" t="inlineStr">
        <is>
          <t>PEN</t>
        </is>
      </c>
    </row>
    <row r="1260">
      <c r="A1260" s="84" t="n">
        <v>33032697</v>
      </c>
      <c r="B1260" s="82" t="inlineStr">
        <is>
          <t>TPSU</t>
        </is>
      </c>
      <c r="C1260" s="82" t="inlineStr">
        <is>
          <t>L001</t>
        </is>
      </c>
      <c r="D1260" s="84" t="inlineStr">
        <is>
          <t>EST-0304</t>
        </is>
      </c>
      <c r="E1260" s="80" t="inlineStr">
        <is>
          <t>FAJA XPB1600</t>
        </is>
      </c>
      <c r="F1260" s="67" t="inlineStr">
        <is>
          <t>UN</t>
        </is>
      </c>
      <c r="G1260" s="84" t="n">
        <v>3</v>
      </c>
      <c r="H1260" s="57" t="inlineStr">
        <is>
          <t>122022</t>
        </is>
      </c>
      <c r="I1260" s="139" t="n">
        <v>105.23</v>
      </c>
      <c r="J1260" s="140" t="n">
        <v>0</v>
      </c>
      <c r="K1260" s="86" t="inlineStr">
        <is>
          <t>PEN</t>
        </is>
      </c>
    </row>
    <row r="1261">
      <c r="A1261" s="84" t="n">
        <v>33032526</v>
      </c>
      <c r="B1261" s="67" t="inlineStr">
        <is>
          <t>TPSU</t>
        </is>
      </c>
      <c r="C1261" s="90" t="inlineStr">
        <is>
          <t>L001</t>
        </is>
      </c>
      <c r="D1261" s="84" t="inlineStr">
        <is>
          <t>EST-0305</t>
        </is>
      </c>
      <c r="E1261" s="80" t="inlineStr">
        <is>
          <t>FAJA DENTADA XPB-2650</t>
        </is>
      </c>
      <c r="F1261" s="67" t="inlineStr">
        <is>
          <t>UN</t>
        </is>
      </c>
      <c r="G1261" s="84" t="n">
        <v>5</v>
      </c>
      <c r="H1261" s="57" t="inlineStr">
        <is>
          <t>004-074659</t>
        </is>
      </c>
      <c r="I1261" s="139" t="n">
        <v>290.63</v>
      </c>
      <c r="J1261" s="140" t="n">
        <v>0</v>
      </c>
      <c r="K1261" s="86" t="inlineStr">
        <is>
          <t>PEN</t>
        </is>
      </c>
    </row>
    <row r="1262">
      <c r="A1262" s="84" t="n">
        <v>33032526</v>
      </c>
      <c r="B1262" s="67" t="inlineStr">
        <is>
          <t>TPSU</t>
        </is>
      </c>
      <c r="C1262" s="90" t="inlineStr">
        <is>
          <t>L001</t>
        </is>
      </c>
      <c r="D1262" s="84" t="inlineStr">
        <is>
          <t>EST-0305</t>
        </is>
      </c>
      <c r="E1262" s="80" t="inlineStr">
        <is>
          <t>FAJA DENTADA XPB-2650</t>
        </is>
      </c>
      <c r="F1262" s="67" t="inlineStr">
        <is>
          <t>UN</t>
        </is>
      </c>
      <c r="G1262" s="84" t="n">
        <v>1</v>
      </c>
      <c r="H1262" s="57" t="inlineStr">
        <is>
          <t>102018</t>
        </is>
      </c>
      <c r="I1262" s="139" t="n">
        <v>58.13</v>
      </c>
      <c r="J1262" s="140" t="n">
        <v>0</v>
      </c>
      <c r="K1262" s="86" t="inlineStr">
        <is>
          <t>PEN</t>
        </is>
      </c>
    </row>
    <row r="1263">
      <c r="A1263" s="84" t="n">
        <v>33032527</v>
      </c>
      <c r="B1263" s="67" t="inlineStr">
        <is>
          <t>TPSU</t>
        </is>
      </c>
      <c r="C1263" s="90" t="inlineStr">
        <is>
          <t>L001</t>
        </is>
      </c>
      <c r="D1263" s="84" t="inlineStr">
        <is>
          <t>EST-0305</t>
        </is>
      </c>
      <c r="E1263" s="80" t="inlineStr">
        <is>
          <t>FAJA DENTADA XPB-3000</t>
        </is>
      </c>
      <c r="F1263" s="67" t="inlineStr">
        <is>
          <t>UN</t>
        </is>
      </c>
      <c r="G1263" s="84" t="n">
        <v>1</v>
      </c>
      <c r="H1263" s="57" t="inlineStr">
        <is>
          <t>G-0818215</t>
        </is>
      </c>
      <c r="I1263" s="139" t="n">
        <v>63.86</v>
      </c>
      <c r="J1263" s="140" t="n">
        <v>0</v>
      </c>
      <c r="K1263" s="86" t="inlineStr">
        <is>
          <t>PEN</t>
        </is>
      </c>
    </row>
    <row r="1264">
      <c r="A1264" s="84" t="n">
        <v>33032527</v>
      </c>
      <c r="B1264" s="67" t="inlineStr">
        <is>
          <t>TPSU</t>
        </is>
      </c>
      <c r="C1264" s="90" t="inlineStr">
        <is>
          <t>L001</t>
        </is>
      </c>
      <c r="D1264" s="84" t="inlineStr">
        <is>
          <t>EST-0305</t>
        </is>
      </c>
      <c r="E1264" s="80" t="inlineStr">
        <is>
          <t>FAJA DENTADA XPB-3000</t>
        </is>
      </c>
      <c r="F1264" s="67" t="inlineStr">
        <is>
          <t>UN</t>
        </is>
      </c>
      <c r="G1264" s="84" t="n">
        <v>2</v>
      </c>
      <c r="H1264" s="57" t="inlineStr">
        <is>
          <t>G040620708</t>
        </is>
      </c>
      <c r="I1264" s="139" t="n">
        <v>127.71</v>
      </c>
      <c r="J1264" s="140" t="n">
        <v>0</v>
      </c>
      <c r="K1264" s="86" t="inlineStr">
        <is>
          <t>PEN</t>
        </is>
      </c>
    </row>
    <row r="1265">
      <c r="A1265" s="84" t="n">
        <v>33032527</v>
      </c>
      <c r="B1265" s="67" t="inlineStr">
        <is>
          <t>TPSU</t>
        </is>
      </c>
      <c r="C1265" s="90" t="inlineStr">
        <is>
          <t>L001</t>
        </is>
      </c>
      <c r="D1265" s="84" t="inlineStr">
        <is>
          <t>EST-0305</t>
        </is>
      </c>
      <c r="E1265" s="80" t="inlineStr">
        <is>
          <t>FAJA DENTADA XPB-3000</t>
        </is>
      </c>
      <c r="F1265" s="67" t="inlineStr">
        <is>
          <t>UN</t>
        </is>
      </c>
      <c r="G1265" s="84" t="n">
        <v>5</v>
      </c>
      <c r="H1265" s="57" t="inlineStr">
        <is>
          <t>G4764992</t>
        </is>
      </c>
      <c r="I1265" s="139" t="n">
        <v>319.28</v>
      </c>
      <c r="J1265" s="140" t="n">
        <v>1291.285</v>
      </c>
      <c r="K1265" s="86" t="inlineStr">
        <is>
          <t>PEN</t>
        </is>
      </c>
    </row>
    <row r="1266">
      <c r="A1266" s="84" t="n">
        <v>33032527</v>
      </c>
      <c r="B1266" s="67" t="inlineStr">
        <is>
          <t>TPSU</t>
        </is>
      </c>
      <c r="C1266" s="90" t="inlineStr">
        <is>
          <t>L001</t>
        </is>
      </c>
      <c r="D1266" s="84" t="inlineStr">
        <is>
          <t>EST-0305</t>
        </is>
      </c>
      <c r="E1266" s="141" t="inlineStr">
        <is>
          <t>FAJA DENTADA XPB-3000</t>
        </is>
      </c>
      <c r="F1266" s="67" t="inlineStr">
        <is>
          <t>UN</t>
        </is>
      </c>
      <c r="G1266" s="84" t="n">
        <v>2</v>
      </c>
      <c r="H1266" s="57" t="inlineStr">
        <is>
          <t>G4793656</t>
        </is>
      </c>
      <c r="I1266" s="139" t="n">
        <v>127.71</v>
      </c>
      <c r="J1266" s="140" t="n">
        <v>1291.283333333333</v>
      </c>
      <c r="K1266" s="86" t="inlineStr">
        <is>
          <t>PEN</t>
        </is>
      </c>
    </row>
    <row r="1267">
      <c r="A1267" s="84" t="n">
        <v>33032528</v>
      </c>
      <c r="B1267" s="67" t="inlineStr">
        <is>
          <t>TPSU</t>
        </is>
      </c>
      <c r="C1267" s="90" t="inlineStr">
        <is>
          <t>L001</t>
        </is>
      </c>
      <c r="D1267" s="84" t="inlineStr">
        <is>
          <t>EST-0305</t>
        </is>
      </c>
      <c r="E1267" s="141" t="inlineStr">
        <is>
          <t>FAJA DENTADA XPB-3350</t>
        </is>
      </c>
      <c r="F1267" s="67" t="inlineStr">
        <is>
          <t>UN</t>
        </is>
      </c>
      <c r="G1267" s="84" t="n">
        <v>1</v>
      </c>
      <c r="H1267" s="57" t="inlineStr">
        <is>
          <t>032021</t>
        </is>
      </c>
      <c r="I1267" s="139" t="n">
        <v>69.39</v>
      </c>
      <c r="J1267" s="140" t="n">
        <v>422.09</v>
      </c>
      <c r="K1267" s="86" t="inlineStr">
        <is>
          <t>PEN</t>
        </is>
      </c>
    </row>
    <row r="1268">
      <c r="A1268" s="84" t="n">
        <v>33034786</v>
      </c>
      <c r="B1268" s="67" t="inlineStr">
        <is>
          <t>TPSU</t>
        </is>
      </c>
      <c r="C1268" s="90" t="inlineStr">
        <is>
          <t>L001</t>
        </is>
      </c>
      <c r="D1268" s="84" t="inlineStr">
        <is>
          <t>EST-0305</t>
        </is>
      </c>
      <c r="E1268" s="141" t="inlineStr">
        <is>
          <t>MANG.FLEX.MALLA 2.1/2''X600MM INOX. B.AN</t>
        </is>
      </c>
      <c r="F1268" s="67" t="inlineStr">
        <is>
          <t>UN</t>
        </is>
      </c>
      <c r="G1268" s="84" t="n">
        <v>1</v>
      </c>
      <c r="H1268" s="57" t="inlineStr"/>
      <c r="I1268" s="139" t="n">
        <v>662.99</v>
      </c>
      <c r="J1268" s="140" t="n">
        <v>19.40868428296174</v>
      </c>
      <c r="K1268" s="86" t="inlineStr">
        <is>
          <t>PEN</t>
        </is>
      </c>
    </row>
    <row r="1269">
      <c r="A1269" s="84" t="n">
        <v>33034757</v>
      </c>
      <c r="B1269" s="67" t="inlineStr">
        <is>
          <t>TPSU</t>
        </is>
      </c>
      <c r="C1269" s="90" t="inlineStr">
        <is>
          <t>L001</t>
        </is>
      </c>
      <c r="D1269" s="84" t="inlineStr">
        <is>
          <t>EST-0305</t>
        </is>
      </c>
      <c r="E1269" s="141" t="inlineStr">
        <is>
          <t>MANG.FLEX.MALLA 2''X600MM INOX. BRD AN</t>
        </is>
      </c>
      <c r="F1269" s="67" t="inlineStr">
        <is>
          <t>UN</t>
        </is>
      </c>
      <c r="G1269" s="84" t="n">
        <v>1</v>
      </c>
      <c r="H1269" s="57" t="inlineStr"/>
      <c r="I1269" s="139" t="n">
        <v>609.22</v>
      </c>
      <c r="J1269" s="140" t="n">
        <v>21.924582137133</v>
      </c>
      <c r="K1269" s="86" t="inlineStr">
        <is>
          <t>PEN</t>
        </is>
      </c>
    </row>
    <row r="1270">
      <c r="A1270" s="84" t="n">
        <v>31008189</v>
      </c>
      <c r="B1270" s="67" t="inlineStr">
        <is>
          <t>TPSU</t>
        </is>
      </c>
      <c r="C1270" s="90" t="inlineStr">
        <is>
          <t>L001</t>
        </is>
      </c>
      <c r="D1270" s="84" t="inlineStr">
        <is>
          <t>IQBF02</t>
        </is>
      </c>
      <c r="E1270" s="141" t="inlineStr">
        <is>
          <t>ACIDO SULFURICO IND 90-100 BID 20 KG</t>
        </is>
      </c>
      <c r="F1270" s="67" t="inlineStr">
        <is>
          <t>KG</t>
        </is>
      </c>
      <c r="G1270" s="84" t="n">
        <v>20</v>
      </c>
      <c r="H1270" s="57" t="inlineStr">
        <is>
          <t>CIND98%T75</t>
        </is>
      </c>
      <c r="I1270" s="139" t="n">
        <v>164.38</v>
      </c>
      <c r="J1270" s="140" t="n">
        <v>21.63069963811821</v>
      </c>
      <c r="K1270" s="86" t="inlineStr">
        <is>
          <t>PEN</t>
        </is>
      </c>
    </row>
    <row r="1271">
      <c r="A1271" s="84" t="n">
        <v>31008189</v>
      </c>
      <c r="B1271" s="67" t="inlineStr">
        <is>
          <t>TPSU</t>
        </is>
      </c>
      <c r="C1271" s="90" t="inlineStr">
        <is>
          <t>L001</t>
        </is>
      </c>
      <c r="D1271" s="84" t="inlineStr">
        <is>
          <t>IQBF02</t>
        </is>
      </c>
      <c r="E1271" s="80" t="inlineStr">
        <is>
          <t>ACIDO SULFURICO IND 90-100 BID 20 KG</t>
        </is>
      </c>
      <c r="F1271" s="67" t="inlineStr">
        <is>
          <t>KG</t>
        </is>
      </c>
      <c r="G1271" s="84" t="n">
        <v>20</v>
      </c>
      <c r="H1271" s="57" t="inlineStr">
        <is>
          <t>CIND98-T51</t>
        </is>
      </c>
      <c r="I1271" s="139" t="n">
        <v>164.38</v>
      </c>
      <c r="J1271" s="140" t="n">
        <v>21.26201754385965</v>
      </c>
      <c r="K1271" s="86" t="inlineStr">
        <is>
          <t>PEN</t>
        </is>
      </c>
    </row>
    <row r="1272">
      <c r="A1272" s="84" t="n">
        <v>31015409</v>
      </c>
      <c r="B1272" s="67" t="inlineStr">
        <is>
          <t>TPSU</t>
        </is>
      </c>
      <c r="C1272" s="90" t="inlineStr">
        <is>
          <t>L001</t>
        </is>
      </c>
      <c r="D1272" s="84" t="inlineStr">
        <is>
          <t>IQBF02</t>
        </is>
      </c>
      <c r="E1272" s="80" t="inlineStr">
        <is>
          <t>ALCOHOL ETILICO ABSOLUTO</t>
        </is>
      </c>
      <c r="F1272" s="67" t="inlineStr">
        <is>
          <t>L</t>
        </is>
      </c>
      <c r="G1272" s="84" t="n">
        <v>12</v>
      </c>
      <c r="H1272" s="57" t="inlineStr">
        <is>
          <t>C30W67</t>
        </is>
      </c>
      <c r="I1272" s="139" t="n">
        <v>432.3</v>
      </c>
      <c r="J1272" s="140" t="n">
        <v>20.68601326623971</v>
      </c>
      <c r="K1272" s="86" t="inlineStr">
        <is>
          <t>PEN</t>
        </is>
      </c>
    </row>
    <row r="1273">
      <c r="A1273" s="84" t="n">
        <v>31015409</v>
      </c>
      <c r="B1273" s="67" t="inlineStr">
        <is>
          <t>TPSU</t>
        </is>
      </c>
      <c r="C1273" s="90" t="inlineStr">
        <is>
          <t>L001</t>
        </is>
      </c>
      <c r="D1273" s="84" t="inlineStr">
        <is>
          <t>IQBF02</t>
        </is>
      </c>
      <c r="E1273" s="141" t="inlineStr">
        <is>
          <t>ALCOHOL ETILICO ABSOLUTO</t>
        </is>
      </c>
      <c r="F1273" s="67" t="inlineStr">
        <is>
          <t>L</t>
        </is>
      </c>
      <c r="G1273" s="84" t="n">
        <v>16</v>
      </c>
      <c r="H1273" s="57" t="inlineStr">
        <is>
          <t>E13W68</t>
        </is>
      </c>
      <c r="I1273" s="139" t="n">
        <v>576.4</v>
      </c>
      <c r="J1273" s="140" t="n">
        <v>19.53585714285714</v>
      </c>
      <c r="K1273" s="86" t="inlineStr">
        <is>
          <t>PEN</t>
        </is>
      </c>
    </row>
    <row r="1274">
      <c r="A1274" s="84" t="n">
        <v>31010949</v>
      </c>
      <c r="B1274" s="67" t="inlineStr">
        <is>
          <t>TPSU</t>
        </is>
      </c>
      <c r="C1274" s="90" t="inlineStr">
        <is>
          <t>L001</t>
        </is>
      </c>
      <c r="D1274" s="84" t="inlineStr">
        <is>
          <t>IQBF02</t>
        </is>
      </c>
      <c r="E1274" s="80" t="inlineStr">
        <is>
          <t>HEXANO PA 90-100 FRC 4 L</t>
        </is>
      </c>
      <c r="F1274" s="67" t="inlineStr">
        <is>
          <t>L</t>
        </is>
      </c>
      <c r="G1274" s="84" t="n">
        <v>12</v>
      </c>
      <c r="H1274" s="57" t="inlineStr">
        <is>
          <t>C25W65</t>
        </is>
      </c>
      <c r="I1274" s="139" t="n">
        <v>284.85</v>
      </c>
      <c r="J1274" s="140" t="n">
        <v>22.19667896678967</v>
      </c>
      <c r="K1274" s="86" t="inlineStr">
        <is>
          <t>PEN</t>
        </is>
      </c>
    </row>
    <row r="1275">
      <c r="A1275" s="84" t="n">
        <v>31029283</v>
      </c>
      <c r="B1275" s="67" t="inlineStr">
        <is>
          <t>TPSU</t>
        </is>
      </c>
      <c r="C1275" s="90" t="inlineStr">
        <is>
          <t>L001</t>
        </is>
      </c>
      <c r="D1275" s="84" t="inlineStr">
        <is>
          <t>IQBF04</t>
        </is>
      </c>
      <c r="E1275" s="80" t="inlineStr">
        <is>
          <t>ACIDO NITRICO PA 60-75 FRC 2.5L (YOH)</t>
        </is>
      </c>
      <c r="F1275" s="67" t="inlineStr">
        <is>
          <t>L</t>
        </is>
      </c>
      <c r="G1275" s="84" t="n">
        <v>2.5</v>
      </c>
      <c r="H1275" s="57" t="inlineStr">
        <is>
          <t>041244</t>
        </is>
      </c>
      <c r="I1275" s="139" t="n">
        <v>147.71</v>
      </c>
      <c r="J1275" s="140" t="n">
        <v>26.18365497076023</v>
      </c>
      <c r="K1275" s="86" t="inlineStr">
        <is>
          <t>PEN</t>
        </is>
      </c>
    </row>
    <row r="1276">
      <c r="A1276" s="84" t="n">
        <v>31011665</v>
      </c>
      <c r="B1276" s="67" t="inlineStr">
        <is>
          <t>TPSU</t>
        </is>
      </c>
      <c r="C1276" s="90" t="inlineStr">
        <is>
          <t>L001</t>
        </is>
      </c>
      <c r="D1276" s="84" t="inlineStr">
        <is>
          <t>IQBF04</t>
        </is>
      </c>
      <c r="E1276" s="80" t="inlineStr">
        <is>
          <t>MEK ADITIVO TECNICO 5191 - BOT 1 L</t>
        </is>
      </c>
      <c r="F1276" s="67" t="inlineStr">
        <is>
          <t>L</t>
        </is>
      </c>
      <c r="G1276" s="84" t="n">
        <v>6</v>
      </c>
      <c r="H1276" s="57" t="inlineStr">
        <is>
          <t>13102022</t>
        </is>
      </c>
      <c r="I1276" s="139" t="n">
        <v>433.8</v>
      </c>
      <c r="J1276" s="140" t="n">
        <v>25.72461538461539</v>
      </c>
      <c r="K1276" s="86" t="inlineStr">
        <is>
          <t>PEN</t>
        </is>
      </c>
    </row>
    <row r="1277">
      <c r="A1277" s="84" t="n">
        <v>31011666</v>
      </c>
      <c r="B1277" s="67" t="inlineStr">
        <is>
          <t>TPSU</t>
        </is>
      </c>
      <c r="C1277" s="90" t="inlineStr">
        <is>
          <t>L001</t>
        </is>
      </c>
      <c r="D1277" s="84" t="inlineStr">
        <is>
          <t>IQF</t>
        </is>
      </c>
      <c r="E1277" s="80" t="inlineStr">
        <is>
          <t>MEK TINTA NEGRA 5157 - BOT 1 L</t>
        </is>
      </c>
      <c r="F1277" s="67" t="inlineStr">
        <is>
          <t>L</t>
        </is>
      </c>
      <c r="G1277" s="84" t="n">
        <v>2</v>
      </c>
      <c r="H1277" s="57" t="inlineStr">
        <is>
          <t>26122022</t>
        </is>
      </c>
      <c r="I1277" s="139" t="n">
        <v>742</v>
      </c>
      <c r="J1277" s="140" t="n">
        <v>16.67037037037037</v>
      </c>
      <c r="K1277" s="86" t="inlineStr">
        <is>
          <t>PEN</t>
        </is>
      </c>
    </row>
    <row r="1278">
      <c r="A1278" s="84" t="n">
        <v>20000671</v>
      </c>
      <c r="B1278" s="84" t="inlineStr">
        <is>
          <t>TPSU</t>
        </is>
      </c>
      <c r="C1278" s="91" t="inlineStr">
        <is>
          <t>L002</t>
        </is>
      </c>
      <c r="D1278" s="84" t="inlineStr">
        <is>
          <t>MONTA PPTT</t>
        </is>
      </c>
      <c r="E1278" s="80" t="inlineStr">
        <is>
          <t>BOTELLA DE GAS GLP X 15 KG.(ENVASE)</t>
        </is>
      </c>
      <c r="F1278" s="67" t="inlineStr">
        <is>
          <t>UN</t>
        </is>
      </c>
      <c r="G1278" s="84" t="n">
        <v>1</v>
      </c>
      <c r="H1278" s="84" t="inlineStr">
        <is>
          <t>SG04179442</t>
        </is>
      </c>
      <c r="I1278" s="139" t="n">
        <v>0</v>
      </c>
      <c r="J1278" s="140" t="n">
        <v>14.57469670710572</v>
      </c>
      <c r="K1278" s="86" t="inlineStr">
        <is>
          <t>PEN</t>
        </is>
      </c>
    </row>
    <row r="1279">
      <c r="A1279" s="84" t="n">
        <v>20000671</v>
      </c>
      <c r="B1279" s="84" t="inlineStr">
        <is>
          <t>TPSU</t>
        </is>
      </c>
      <c r="C1279" s="91" t="inlineStr">
        <is>
          <t>L002</t>
        </is>
      </c>
      <c r="D1279" s="84" t="inlineStr">
        <is>
          <t>MONTA PPTT</t>
        </is>
      </c>
      <c r="E1279" s="80" t="inlineStr">
        <is>
          <t>BOTELLA DE GAS GLP X 15 KG.(ENVASE)</t>
        </is>
      </c>
      <c r="F1279" s="67" t="inlineStr">
        <is>
          <t>UN</t>
        </is>
      </c>
      <c r="G1279" s="84" t="n">
        <v>1</v>
      </c>
      <c r="H1279" s="84" t="inlineStr">
        <is>
          <t>SG04842048</t>
        </is>
      </c>
      <c r="I1279" s="139" t="n">
        <v>0</v>
      </c>
      <c r="J1279" s="140" t="n">
        <v>24.1734756097561</v>
      </c>
      <c r="K1279" s="86" t="inlineStr">
        <is>
          <t>PEN</t>
        </is>
      </c>
    </row>
    <row r="1280">
      <c r="A1280" s="84" t="n">
        <v>20000671</v>
      </c>
      <c r="B1280" s="84" t="inlineStr">
        <is>
          <t>TPSU</t>
        </is>
      </c>
      <c r="C1280" s="91" t="inlineStr">
        <is>
          <t>L002</t>
        </is>
      </c>
      <c r="D1280" s="84" t="inlineStr">
        <is>
          <t>MONTA PPTT</t>
        </is>
      </c>
      <c r="E1280" s="80" t="inlineStr">
        <is>
          <t>BOTELLA DE GAS GLP X 15 KG.(ENVASE)</t>
        </is>
      </c>
      <c r="F1280" s="67" t="inlineStr">
        <is>
          <t>UN</t>
        </is>
      </c>
      <c r="G1280" s="84" t="n">
        <v>3</v>
      </c>
      <c r="H1280" s="84" t="inlineStr">
        <is>
          <t>SOLGAS</t>
        </is>
      </c>
      <c r="I1280" s="139" t="n">
        <v>0</v>
      </c>
      <c r="J1280" s="140" t="n">
        <v>22.25837745516652</v>
      </c>
      <c r="K1280" s="86" t="inlineStr">
        <is>
          <t>PEN</t>
        </is>
      </c>
    </row>
    <row r="1281">
      <c r="A1281" s="84" t="n">
        <v>32003555</v>
      </c>
      <c r="B1281" s="67" t="inlineStr">
        <is>
          <t>TPSU</t>
        </is>
      </c>
      <c r="C1281" s="90" t="inlineStr">
        <is>
          <t>L001</t>
        </is>
      </c>
      <c r="D1281" s="84" t="inlineStr">
        <is>
          <t>PARIHUELA</t>
        </is>
      </c>
      <c r="E1281" s="80" t="inlineStr">
        <is>
          <t>BIDON AGUA 20L.</t>
        </is>
      </c>
      <c r="F1281" s="67" t="inlineStr">
        <is>
          <t>UN</t>
        </is>
      </c>
      <c r="G1281" s="84" t="n">
        <v>122</v>
      </c>
      <c r="H1281" s="57" t="inlineStr">
        <is>
          <t>19/05/2023</t>
        </is>
      </c>
      <c r="I1281" s="139" t="n">
        <v>1988.6</v>
      </c>
      <c r="J1281" s="140" t="n">
        <v>44.09348571428571</v>
      </c>
      <c r="K1281" s="86" t="inlineStr">
        <is>
          <t>PEN</t>
        </is>
      </c>
    </row>
    <row r="1282">
      <c r="A1282" s="84" t="n">
        <v>32003790</v>
      </c>
      <c r="B1282" s="67" t="inlineStr">
        <is>
          <t>TPSU</t>
        </is>
      </c>
      <c r="C1282" s="90" t="inlineStr">
        <is>
          <t>L001</t>
        </is>
      </c>
      <c r="D1282" s="84" t="inlineStr">
        <is>
          <t>PARIHUELA</t>
        </is>
      </c>
      <c r="E1282" s="80" t="inlineStr">
        <is>
          <t>CAJA AGUA ENV.DESCARTABLE X 20 LITROS</t>
        </is>
      </c>
      <c r="F1282" s="67" t="inlineStr">
        <is>
          <t>UN</t>
        </is>
      </c>
      <c r="G1282" s="84" t="n">
        <v>123</v>
      </c>
      <c r="H1282" s="57" t="inlineStr">
        <is>
          <t>06/04/2023</t>
        </is>
      </c>
      <c r="I1282" s="139" t="n">
        <v>2451.2</v>
      </c>
      <c r="J1282" s="140" t="n">
        <v>9.52</v>
      </c>
      <c r="K1282" s="86" t="inlineStr">
        <is>
          <t>PEN</t>
        </is>
      </c>
    </row>
    <row r="1283">
      <c r="A1283" s="84" t="n">
        <v>32003790</v>
      </c>
      <c r="B1283" s="67" t="inlineStr">
        <is>
          <t>TPSU</t>
        </is>
      </c>
      <c r="C1283" s="90" t="inlineStr">
        <is>
          <t>L001</t>
        </is>
      </c>
      <c r="D1283" s="84" t="inlineStr">
        <is>
          <t>PARIHUELA</t>
        </is>
      </c>
      <c r="E1283" s="80" t="inlineStr">
        <is>
          <t>CAJA AGUA ENV.DESCARTABLE X 20 LITROS</t>
        </is>
      </c>
      <c r="F1283" s="67" t="inlineStr">
        <is>
          <t>UN</t>
        </is>
      </c>
      <c r="G1283" s="84" t="n">
        <v>149</v>
      </c>
      <c r="H1283" s="57" t="inlineStr">
        <is>
          <t>19/05/2023</t>
        </is>
      </c>
      <c r="I1283" s="139" t="n">
        <v>2969.33</v>
      </c>
      <c r="J1283" s="140" t="n">
        <v>32.89</v>
      </c>
      <c r="K1283" s="86" t="inlineStr">
        <is>
          <t>PEN</t>
        </is>
      </c>
    </row>
    <row r="1284">
      <c r="A1284" s="84" t="n">
        <v>32005495</v>
      </c>
      <c r="B1284" s="67" t="inlineStr">
        <is>
          <t>TPSU</t>
        </is>
      </c>
      <c r="C1284" s="90" t="inlineStr">
        <is>
          <t>L001</t>
        </is>
      </c>
      <c r="D1284" s="84" t="inlineStr">
        <is>
          <t>PARIHUELA</t>
        </is>
      </c>
      <c r="E1284" s="80" t="inlineStr">
        <is>
          <t>DETERGENTE INDUSTRIAL</t>
        </is>
      </c>
      <c r="F1284" s="67" t="inlineStr">
        <is>
          <t>KG</t>
        </is>
      </c>
      <c r="G1284" s="84" t="n">
        <v>385.75</v>
      </c>
      <c r="H1284" s="57" t="inlineStr"/>
      <c r="I1284" s="139" t="n">
        <v>2264.13</v>
      </c>
      <c r="J1284" s="140" t="n">
        <v>21.94809688581315</v>
      </c>
      <c r="K1284" s="86" t="inlineStr">
        <is>
          <t>PEN</t>
        </is>
      </c>
    </row>
    <row r="1285">
      <c r="A1285" s="84" t="n">
        <v>10200081</v>
      </c>
      <c r="B1285" s="67" t="inlineStr">
        <is>
          <t>TPSU</t>
        </is>
      </c>
      <c r="C1285" s="90" t="inlineStr">
        <is>
          <t>L001</t>
        </is>
      </c>
      <c r="D1285" s="84" t="inlineStr">
        <is>
          <t>PATIO</t>
        </is>
      </c>
      <c r="E1285" s="80" t="inlineStr">
        <is>
          <t>SULFATO FERRICO EN POLVO</t>
        </is>
      </c>
      <c r="F1285" s="67" t="inlineStr">
        <is>
          <t>KG</t>
        </is>
      </c>
      <c r="G1285" s="84" t="n">
        <v>49600</v>
      </c>
      <c r="H1285" s="57" t="inlineStr">
        <is>
          <t>H20723032</t>
        </is>
      </c>
      <c r="I1285" s="139" t="n">
        <v>157370.09</v>
      </c>
      <c r="J1285" s="140" t="n">
        <v>19.62619047619048</v>
      </c>
      <c r="K1285" s="86" t="inlineStr">
        <is>
          <t>PEN</t>
        </is>
      </c>
    </row>
    <row r="1286">
      <c r="A1286" s="84" t="n">
        <v>20000669</v>
      </c>
      <c r="B1286" s="84" t="inlineStr">
        <is>
          <t>TPSU</t>
        </is>
      </c>
      <c r="C1286" s="91" t="inlineStr">
        <is>
          <t>L002</t>
        </is>
      </c>
      <c r="D1286" s="84" t="inlineStr">
        <is>
          <t>PLANTA PS</t>
        </is>
      </c>
      <c r="E1286" s="80" t="inlineStr">
        <is>
          <t>BOTELLA DE GAS PROPANO X 45 KG.(ENVASE)</t>
        </is>
      </c>
      <c r="F1286" s="67" t="inlineStr">
        <is>
          <t>UN</t>
        </is>
      </c>
      <c r="G1286" s="84" t="n">
        <v>2</v>
      </c>
      <c r="H1286" s="84" t="inlineStr">
        <is>
          <t>SG006-1340</t>
        </is>
      </c>
      <c r="I1286" s="139" t="n">
        <v>0</v>
      </c>
      <c r="J1286" s="140" t="n">
        <v>23.272</v>
      </c>
      <c r="K1286" s="86" t="inlineStr">
        <is>
          <t>PEN</t>
        </is>
      </c>
    </row>
    <row r="1287">
      <c r="A1287" s="84" t="n">
        <v>20000669</v>
      </c>
      <c r="B1287" s="84" t="inlineStr">
        <is>
          <t>TPSU</t>
        </is>
      </c>
      <c r="C1287" s="91" t="inlineStr">
        <is>
          <t>L002</t>
        </is>
      </c>
      <c r="D1287" s="84" t="inlineStr">
        <is>
          <t>PLANTA PS</t>
        </is>
      </c>
      <c r="E1287" s="80" t="inlineStr">
        <is>
          <t>BOTELLA DE GAS PROPANO X 45 KG.(ENVASE)</t>
        </is>
      </c>
      <c r="F1287" s="67" t="inlineStr">
        <is>
          <t>UN</t>
        </is>
      </c>
      <c r="G1287" s="84" t="n">
        <v>2</v>
      </c>
      <c r="H1287" s="84" t="inlineStr">
        <is>
          <t>SL0006-911</t>
        </is>
      </c>
      <c r="I1287" s="139" t="n">
        <v>0</v>
      </c>
      <c r="J1287" s="140" t="n">
        <v>4.86</v>
      </c>
      <c r="K1287" s="86" t="inlineStr">
        <is>
          <t>PEN</t>
        </is>
      </c>
    </row>
    <row r="1288">
      <c r="A1288" s="84" t="n">
        <v>20000669</v>
      </c>
      <c r="B1288" s="84" t="inlineStr">
        <is>
          <t>TPSU</t>
        </is>
      </c>
      <c r="C1288" s="91" t="inlineStr">
        <is>
          <t>L002</t>
        </is>
      </c>
      <c r="D1288" s="84" t="inlineStr">
        <is>
          <t>PLANTA PS</t>
        </is>
      </c>
      <c r="E1288" s="80" t="inlineStr">
        <is>
          <t>BOTELLA DE GAS PROPANO X 45 KG.(ENVASE)</t>
        </is>
      </c>
      <c r="F1288" s="67" t="inlineStr">
        <is>
          <t>UN</t>
        </is>
      </c>
      <c r="G1288" s="84" t="n">
        <v>1</v>
      </c>
      <c r="H1288" s="84" t="inlineStr">
        <is>
          <t>SL006-1083</t>
        </is>
      </c>
      <c r="I1288" s="139" t="n">
        <v>0</v>
      </c>
      <c r="J1288" s="140" t="n">
        <v>27.23266666666667</v>
      </c>
      <c r="K1288" s="86" t="inlineStr">
        <is>
          <t>PEN</t>
        </is>
      </c>
    </row>
    <row r="1289">
      <c r="A1289" s="84" t="n">
        <v>20000669</v>
      </c>
      <c r="B1289" s="84" t="inlineStr">
        <is>
          <t>TPSU</t>
        </is>
      </c>
      <c r="C1289" s="91" t="inlineStr">
        <is>
          <t>L002</t>
        </is>
      </c>
      <c r="D1289" s="84" t="inlineStr">
        <is>
          <t>PLANTA PS</t>
        </is>
      </c>
      <c r="E1289" s="80" t="inlineStr">
        <is>
          <t>BOTELLA DE GAS PROPANO X 45 KG.(ENVASE)</t>
        </is>
      </c>
      <c r="F1289" s="67" t="inlineStr">
        <is>
          <t>UN</t>
        </is>
      </c>
      <c r="G1289" s="84" t="n">
        <v>7</v>
      </c>
      <c r="H1289" s="84" t="inlineStr">
        <is>
          <t>SL006-1148</t>
        </is>
      </c>
      <c r="I1289" s="139" t="n">
        <v>0</v>
      </c>
      <c r="J1289" s="140" t="n">
        <v>28.00727272727273</v>
      </c>
      <c r="K1289" s="86" t="inlineStr">
        <is>
          <t>PEN</t>
        </is>
      </c>
    </row>
    <row r="1290">
      <c r="A1290" s="84" t="n">
        <v>20000669</v>
      </c>
      <c r="B1290" s="84" t="inlineStr">
        <is>
          <t>TPSU</t>
        </is>
      </c>
      <c r="C1290" s="91" t="inlineStr">
        <is>
          <t>L002</t>
        </is>
      </c>
      <c r="D1290" s="84" t="inlineStr">
        <is>
          <t>PLANTA PS</t>
        </is>
      </c>
      <c r="E1290" s="80" t="inlineStr">
        <is>
          <t>BOTELLA DE GAS PROPANO X 45 KG.(ENVASE)</t>
        </is>
      </c>
      <c r="F1290" s="67" t="inlineStr">
        <is>
          <t>UN</t>
        </is>
      </c>
      <c r="G1290" s="84" t="n">
        <v>1</v>
      </c>
      <c r="H1290" s="84" t="inlineStr">
        <is>
          <t>SL006-864</t>
        </is>
      </c>
      <c r="I1290" s="139" t="n">
        <v>0</v>
      </c>
      <c r="J1290" s="140" t="n">
        <v>28.19963855421687</v>
      </c>
      <c r="K1290" s="86" t="inlineStr">
        <is>
          <t>PEN</t>
        </is>
      </c>
    </row>
    <row r="1291">
      <c r="A1291" s="84" t="n">
        <v>20000699</v>
      </c>
      <c r="B1291" s="84" t="inlineStr">
        <is>
          <t>TPSU</t>
        </is>
      </c>
      <c r="C1291" s="91" t="inlineStr">
        <is>
          <t>L002</t>
        </is>
      </c>
      <c r="D1291" s="84" t="inlineStr">
        <is>
          <t>PLANTA PS</t>
        </is>
      </c>
      <c r="E1291" s="80" t="inlineStr">
        <is>
          <t>BOTELLA OXIGENO X 10M3(ENVASE)</t>
        </is>
      </c>
      <c r="F1291" s="67" t="inlineStr">
        <is>
          <t>UN</t>
        </is>
      </c>
      <c r="G1291" s="84" t="n">
        <v>1</v>
      </c>
      <c r="H1291" s="84" t="inlineStr">
        <is>
          <t>LI1572933</t>
        </is>
      </c>
      <c r="I1291" s="139" t="n">
        <v>0</v>
      </c>
      <c r="J1291" s="140" t="n">
        <v>24.17354545454545</v>
      </c>
      <c r="K1291" s="86" t="inlineStr">
        <is>
          <t>PEN</t>
        </is>
      </c>
    </row>
    <row r="1292">
      <c r="A1292" s="84" t="n">
        <v>20000699</v>
      </c>
      <c r="B1292" s="84" t="inlineStr">
        <is>
          <t>TPSU</t>
        </is>
      </c>
      <c r="C1292" s="91" t="inlineStr">
        <is>
          <t>L002</t>
        </is>
      </c>
      <c r="D1292" s="84" t="inlineStr">
        <is>
          <t>PLANTA PS</t>
        </is>
      </c>
      <c r="E1292" s="80" t="inlineStr">
        <is>
          <t>BOTELLA OXIGENO X 10M3(ENVASE)</t>
        </is>
      </c>
      <c r="F1292" s="67" t="inlineStr">
        <is>
          <t>UN</t>
        </is>
      </c>
      <c r="G1292" s="84" t="n">
        <v>1</v>
      </c>
      <c r="H1292" s="84" t="inlineStr">
        <is>
          <t>LI3292456</t>
        </is>
      </c>
      <c r="I1292" s="139" t="n">
        <v>0</v>
      </c>
      <c r="J1292" s="140" t="n">
        <v>4.571596887159533</v>
      </c>
      <c r="K1292" s="86" t="inlineStr">
        <is>
          <t>PEN</t>
        </is>
      </c>
    </row>
    <row r="1293">
      <c r="A1293" s="84" t="n">
        <v>20000699</v>
      </c>
      <c r="B1293" s="84" t="inlineStr">
        <is>
          <t>TPSU</t>
        </is>
      </c>
      <c r="C1293" s="91" t="inlineStr">
        <is>
          <t>L002</t>
        </is>
      </c>
      <c r="D1293" s="84" t="inlineStr">
        <is>
          <t>PLANTA PS</t>
        </is>
      </c>
      <c r="E1293" s="141" t="inlineStr">
        <is>
          <t>BOTELLA OXIGENO X 10M3(ENVASE)</t>
        </is>
      </c>
      <c r="F1293" s="67" t="inlineStr">
        <is>
          <t>UN</t>
        </is>
      </c>
      <c r="G1293" s="84" t="n">
        <v>1</v>
      </c>
      <c r="H1293" s="84" t="inlineStr">
        <is>
          <t>LI3337281</t>
        </is>
      </c>
      <c r="I1293" s="139" t="n">
        <v>0</v>
      </c>
      <c r="J1293" s="140" t="n">
        <v>4.5715975</v>
      </c>
      <c r="K1293" s="86" t="inlineStr">
        <is>
          <t>PEN</t>
        </is>
      </c>
    </row>
    <row r="1294">
      <c r="A1294" s="84" t="n">
        <v>20000699</v>
      </c>
      <c r="B1294" s="84" t="inlineStr">
        <is>
          <t>TPSU</t>
        </is>
      </c>
      <c r="C1294" s="91" t="inlineStr">
        <is>
          <t>L002</t>
        </is>
      </c>
      <c r="D1294" s="84" t="inlineStr">
        <is>
          <t>PLANTA PS</t>
        </is>
      </c>
      <c r="E1294" s="141" t="inlineStr">
        <is>
          <t>BOTELLA OXIGENO X 10M3(ENVASE)</t>
        </is>
      </c>
      <c r="F1294" s="67" t="inlineStr">
        <is>
          <t>UN</t>
        </is>
      </c>
      <c r="G1294" s="84" t="n">
        <v>1</v>
      </c>
      <c r="H1294" s="84" t="inlineStr">
        <is>
          <t>LI674275</t>
        </is>
      </c>
      <c r="I1294" s="139" t="n">
        <v>0</v>
      </c>
      <c r="J1294" s="140" t="n">
        <v>28.08148148148148</v>
      </c>
      <c r="K1294" s="86" t="inlineStr">
        <is>
          <t>PEN</t>
        </is>
      </c>
    </row>
    <row r="1295">
      <c r="A1295" s="84" t="n">
        <v>20000699</v>
      </c>
      <c r="B1295" s="84" t="inlineStr">
        <is>
          <t>TPSU</t>
        </is>
      </c>
      <c r="C1295" s="91" t="inlineStr">
        <is>
          <t>L002</t>
        </is>
      </c>
      <c r="D1295" s="84" t="inlineStr">
        <is>
          <t>PLANTA PS</t>
        </is>
      </c>
      <c r="E1295" s="141" t="inlineStr">
        <is>
          <t>BOTELLA OXIGENO X 10M3(ENVASE)</t>
        </is>
      </c>
      <c r="F1295" s="67" t="inlineStr">
        <is>
          <t>UN</t>
        </is>
      </c>
      <c r="G1295" s="84" t="n">
        <v>1</v>
      </c>
      <c r="H1295" s="84" t="inlineStr">
        <is>
          <t>LIA30347</t>
        </is>
      </c>
      <c r="I1295" s="139" t="n">
        <v>0</v>
      </c>
      <c r="J1295" s="140" t="n">
        <v>70.76599999999999</v>
      </c>
      <c r="K1295" s="86" t="inlineStr">
        <is>
          <t>PEN</t>
        </is>
      </c>
    </row>
    <row r="1296">
      <c r="A1296" s="84" t="n">
        <v>20000699</v>
      </c>
      <c r="B1296" s="84" t="inlineStr">
        <is>
          <t>TPSU</t>
        </is>
      </c>
      <c r="C1296" s="91" t="inlineStr">
        <is>
          <t>L002</t>
        </is>
      </c>
      <c r="D1296" s="84" t="inlineStr">
        <is>
          <t>PLANTA PS</t>
        </is>
      </c>
      <c r="E1296" s="141" t="inlineStr">
        <is>
          <t>BOTELLA OXIGENO X 10M3(ENVASE)</t>
        </is>
      </c>
      <c r="F1296" s="67" t="inlineStr">
        <is>
          <t>UN</t>
        </is>
      </c>
      <c r="G1296" s="84" t="n">
        <v>1</v>
      </c>
      <c r="H1296" s="84" t="inlineStr">
        <is>
          <t>LIW649337</t>
        </is>
      </c>
      <c r="I1296" s="139" t="n">
        <v>0</v>
      </c>
      <c r="J1296" s="140" t="n">
        <v>70.23026315789474</v>
      </c>
      <c r="K1296" s="86" t="inlineStr">
        <is>
          <t>PEN</t>
        </is>
      </c>
    </row>
    <row r="1297">
      <c r="A1297" s="84" t="n">
        <v>31008766</v>
      </c>
      <c r="B1297" s="67" t="inlineStr">
        <is>
          <t>TPSU</t>
        </is>
      </c>
      <c r="C1297" s="90" t="inlineStr">
        <is>
          <t>L001</t>
        </is>
      </c>
      <c r="D1297" s="84" t="inlineStr">
        <is>
          <t>Z.BATERIA</t>
        </is>
      </c>
      <c r="E1297" s="80" t="inlineStr">
        <is>
          <t>BATERIA 12VDC 210 AMP/HORA X 33PLACAS</t>
        </is>
      </c>
      <c r="F1297" s="67" t="inlineStr">
        <is>
          <t>UN</t>
        </is>
      </c>
      <c r="G1297" s="84" t="n">
        <v>4</v>
      </c>
      <c r="H1297" s="57" t="inlineStr">
        <is>
          <t>08112022</t>
        </is>
      </c>
      <c r="I1297" s="139" t="n">
        <v>5165.14</v>
      </c>
      <c r="J1297" s="140" t="n">
        <v>68.52985074626865</v>
      </c>
      <c r="K1297" s="86" t="inlineStr">
        <is>
          <t>PEN</t>
        </is>
      </c>
    </row>
    <row r="1298">
      <c r="A1298" s="84" t="n">
        <v>31008766</v>
      </c>
      <c r="B1298" s="67" t="inlineStr">
        <is>
          <t>TPSU</t>
        </is>
      </c>
      <c r="C1298" s="90" t="inlineStr">
        <is>
          <t>L001</t>
        </is>
      </c>
      <c r="D1298" s="84" t="inlineStr">
        <is>
          <t>Z.BATERIA</t>
        </is>
      </c>
      <c r="E1298" s="80" t="inlineStr">
        <is>
          <t>BATERIA 12VDC 210 AMP/HORA X 33PLACAS</t>
        </is>
      </c>
      <c r="F1298" s="67" t="inlineStr">
        <is>
          <t>UN</t>
        </is>
      </c>
      <c r="G1298" s="84" t="n">
        <v>3</v>
      </c>
      <c r="H1298" s="57" t="inlineStr">
        <is>
          <t>22032023</t>
        </is>
      </c>
      <c r="I1298" s="139" t="n">
        <v>3873.85</v>
      </c>
      <c r="J1298" s="140" t="n">
        <v>130.73</v>
      </c>
      <c r="K1298" s="86" t="inlineStr">
        <is>
          <t>PEN</t>
        </is>
      </c>
    </row>
    <row r="1299">
      <c r="A1299" s="84" t="n">
        <v>33030167</v>
      </c>
      <c r="B1299" s="67" t="inlineStr">
        <is>
          <t>TPSU</t>
        </is>
      </c>
      <c r="C1299" s="90" t="inlineStr">
        <is>
          <t>L001</t>
        </is>
      </c>
      <c r="D1299" s="84" t="inlineStr">
        <is>
          <t>Z.CABO</t>
        </is>
      </c>
      <c r="E1299" s="80" t="inlineStr">
        <is>
          <t>BATERIA 12VDC X 13PLACAS</t>
        </is>
      </c>
      <c r="F1299" s="67" t="inlineStr">
        <is>
          <t>UN</t>
        </is>
      </c>
      <c r="G1299" s="84" t="n">
        <v>1</v>
      </c>
      <c r="H1299" s="57" t="inlineStr">
        <is>
          <t>G5104099</t>
        </is>
      </c>
      <c r="I1299" s="139" t="n">
        <v>422.09</v>
      </c>
      <c r="J1299" s="140" t="n">
        <v>0</v>
      </c>
      <c r="K1299" s="86" t="inlineStr">
        <is>
          <t>PEN</t>
        </is>
      </c>
    </row>
    <row r="1300">
      <c r="A1300" s="84" t="n">
        <v>31009159</v>
      </c>
      <c r="B1300" s="67" t="inlineStr">
        <is>
          <t>TPSU</t>
        </is>
      </c>
      <c r="C1300" s="90" t="inlineStr">
        <is>
          <t>L001</t>
        </is>
      </c>
      <c r="D1300" s="84" t="inlineStr">
        <is>
          <t>Z.CABO</t>
        </is>
      </c>
      <c r="E1300" s="80" t="inlineStr">
        <is>
          <t>CABO MIXTO 3FIB PE-PA-PES  7/8" TORCIDO</t>
        </is>
      </c>
      <c r="F1300" s="67" t="inlineStr">
        <is>
          <t>KG</t>
        </is>
      </c>
      <c r="G1300" s="84" t="n">
        <v>145.32</v>
      </c>
      <c r="H1300" s="57" t="inlineStr"/>
      <c r="I1300" s="139" t="n">
        <v>2820.47</v>
      </c>
      <c r="J1300" s="140" t="n">
        <v>0</v>
      </c>
      <c r="K1300" s="86" t="inlineStr">
        <is>
          <t>PEN</t>
        </is>
      </c>
    </row>
    <row r="1301">
      <c r="A1301" s="84" t="n">
        <v>31009161</v>
      </c>
      <c r="B1301" s="67" t="inlineStr">
        <is>
          <t>TPSU</t>
        </is>
      </c>
      <c r="C1301" s="90" t="inlineStr">
        <is>
          <t>L001</t>
        </is>
      </c>
      <c r="D1301" s="84" t="inlineStr">
        <is>
          <t>Z.CABO</t>
        </is>
      </c>
      <c r="E1301" s="80" t="inlineStr">
        <is>
          <t>CABO MIXTO 3FIB PE-PA-PES 1.1/2" TORCIDO</t>
        </is>
      </c>
      <c r="F1301" s="67" t="inlineStr">
        <is>
          <t>KG</t>
        </is>
      </c>
      <c r="G1301" s="84" t="n">
        <v>567.77</v>
      </c>
      <c r="H1301" s="57" t="inlineStr"/>
      <c r="I1301" s="139" t="n">
        <v>12448.12</v>
      </c>
      <c r="J1301" s="140" t="n">
        <v>0</v>
      </c>
      <c r="K1301" s="86" t="inlineStr">
        <is>
          <t>PEN</t>
        </is>
      </c>
    </row>
    <row r="1302">
      <c r="A1302" s="84" t="n">
        <v>31009162</v>
      </c>
      <c r="B1302" s="67" t="inlineStr">
        <is>
          <t>TPSU</t>
        </is>
      </c>
      <c r="C1302" s="90" t="inlineStr">
        <is>
          <t>L001</t>
        </is>
      </c>
      <c r="D1302" s="84" t="inlineStr">
        <is>
          <t>Z.CABO</t>
        </is>
      </c>
      <c r="E1302" s="80" t="inlineStr">
        <is>
          <t>CABO MIXTO 3FIB PE-PA-PES 1.1/4" TORCIDO</t>
        </is>
      </c>
      <c r="F1302" s="67" t="inlineStr">
        <is>
          <t>KG</t>
        </is>
      </c>
      <c r="G1302" s="84" t="n">
        <v>331.6</v>
      </c>
      <c r="H1302" s="57" t="inlineStr"/>
      <c r="I1302" s="139" t="n">
        <v>7172.74</v>
      </c>
      <c r="J1302" s="140" t="n">
        <v>0</v>
      </c>
      <c r="K1302" s="86" t="inlineStr">
        <is>
          <t>PEN</t>
        </is>
      </c>
    </row>
    <row r="1303">
      <c r="A1303" s="84" t="n">
        <v>31009163</v>
      </c>
      <c r="B1303" s="67" t="inlineStr">
        <is>
          <t>TPSU</t>
        </is>
      </c>
      <c r="C1303" s="90" t="inlineStr">
        <is>
          <t>L001</t>
        </is>
      </c>
      <c r="D1303" s="84" t="inlineStr">
        <is>
          <t>Z.CABO</t>
        </is>
      </c>
      <c r="E1303" s="80" t="inlineStr">
        <is>
          <t>CABO MIXTO 3FIB PE-PA-PES 1.1/8" TORCIDO</t>
        </is>
      </c>
      <c r="F1303" s="67" t="inlineStr">
        <is>
          <t>KG</t>
        </is>
      </c>
      <c r="G1303" s="84" t="n">
        <v>228</v>
      </c>
      <c r="H1303" s="57" t="inlineStr"/>
      <c r="I1303" s="139" t="n">
        <v>4847.74</v>
      </c>
      <c r="J1303" s="140" t="n">
        <v>0</v>
      </c>
      <c r="K1303" s="86" t="inlineStr">
        <is>
          <t>PEN</t>
        </is>
      </c>
    </row>
    <row r="1304">
      <c r="A1304" s="84" t="n">
        <v>31009160</v>
      </c>
      <c r="B1304" s="67" t="inlineStr">
        <is>
          <t>TPSU</t>
        </is>
      </c>
      <c r="C1304" s="90" t="inlineStr">
        <is>
          <t>L001</t>
        </is>
      </c>
      <c r="D1304" s="84" t="inlineStr">
        <is>
          <t>Z.CABO</t>
        </is>
      </c>
      <c r="E1304" s="80" t="inlineStr">
        <is>
          <t>CABO MIXTO 3FIB PE-PA-PES 1" TORCIDO</t>
        </is>
      </c>
      <c r="F1304" s="67" t="inlineStr">
        <is>
          <t>KG</t>
        </is>
      </c>
      <c r="G1304" s="84" t="n">
        <v>174.88</v>
      </c>
      <c r="H1304" s="57" t="inlineStr"/>
      <c r="I1304" s="139" t="n">
        <v>3617.57</v>
      </c>
      <c r="J1304" s="140" t="n">
        <v>0</v>
      </c>
      <c r="K1304" s="86" t="inlineStr">
        <is>
          <t>PEN</t>
        </is>
      </c>
    </row>
    <row r="1305">
      <c r="A1305" s="84" t="n">
        <v>31009164</v>
      </c>
      <c r="B1305" s="67" t="inlineStr">
        <is>
          <t>TPSU</t>
        </is>
      </c>
      <c r="C1305" s="90" t="inlineStr">
        <is>
          <t>L001</t>
        </is>
      </c>
      <c r="D1305" s="84" t="inlineStr">
        <is>
          <t>Z.CABO</t>
        </is>
      </c>
      <c r="E1305" s="80" t="inlineStr">
        <is>
          <t>CABO MIXTO 3FIB PE-PA-PES 3/4" TORCIDO</t>
        </is>
      </c>
      <c r="F1305" s="67" t="inlineStr">
        <is>
          <t>KG</t>
        </is>
      </c>
      <c r="G1305" s="84" t="n">
        <v>140</v>
      </c>
      <c r="H1305" s="57" t="inlineStr"/>
      <c r="I1305" s="139" t="n">
        <v>2735.02</v>
      </c>
      <c r="J1305" s="140" t="n">
        <v>0</v>
      </c>
      <c r="K1305" s="86" t="inlineStr">
        <is>
          <t>PEN</t>
        </is>
      </c>
    </row>
    <row r="1306">
      <c r="A1306" s="84" t="n">
        <v>31009165</v>
      </c>
      <c r="B1306" s="67" t="inlineStr">
        <is>
          <t>TPSU</t>
        </is>
      </c>
      <c r="C1306" s="90" t="inlineStr">
        <is>
          <t>L001</t>
        </is>
      </c>
      <c r="D1306" s="84" t="inlineStr">
        <is>
          <t>Z.CABO</t>
        </is>
      </c>
      <c r="E1306" s="80" t="inlineStr">
        <is>
          <t>CABO MIXTO 3FIB PE-PA-PES 5/8" TORCIDO</t>
        </is>
      </c>
      <c r="F1306" s="67" t="inlineStr">
        <is>
          <t>KG</t>
        </is>
      </c>
      <c r="G1306" s="84" t="n">
        <v>54.2</v>
      </c>
      <c r="H1306" s="57" t="inlineStr"/>
      <c r="I1306" s="139" t="n">
        <v>1203.06</v>
      </c>
      <c r="J1306" s="140" t="n">
        <v>0</v>
      </c>
      <c r="K1306" s="86" t="inlineStr">
        <is>
          <t>PEN</t>
        </is>
      </c>
    </row>
    <row r="1307">
      <c r="A1307" s="84" t="n">
        <v>31009169</v>
      </c>
      <c r="B1307" s="67" t="inlineStr">
        <is>
          <t>TPSU</t>
        </is>
      </c>
      <c r="C1307" s="90" t="inlineStr">
        <is>
          <t>L001</t>
        </is>
      </c>
      <c r="D1307" s="84" t="inlineStr">
        <is>
          <t>Z.CABO</t>
        </is>
      </c>
      <c r="E1307" s="80" t="inlineStr">
        <is>
          <t>CABO NYLON 1/2"  TRENZADO MEDIA FUERTE</t>
        </is>
      </c>
      <c r="F1307" s="67" t="inlineStr">
        <is>
          <t>KG</t>
        </is>
      </c>
      <c r="G1307" s="84" t="n">
        <v>342</v>
      </c>
      <c r="H1307" s="57" t="inlineStr"/>
      <c r="I1307" s="139" t="n">
        <v>8954.809999999999</v>
      </c>
      <c r="J1307" s="140" t="n">
        <v>0</v>
      </c>
      <c r="K1307" s="86" t="inlineStr">
        <is>
          <t>PEN</t>
        </is>
      </c>
    </row>
    <row r="1308">
      <c r="A1308" s="84" t="n">
        <v>31009172</v>
      </c>
      <c r="B1308" s="67" t="inlineStr">
        <is>
          <t>TPSU</t>
        </is>
      </c>
      <c r="C1308" s="90" t="inlineStr">
        <is>
          <t>L001</t>
        </is>
      </c>
      <c r="D1308" s="84" t="inlineStr">
        <is>
          <t>Z.CABO</t>
        </is>
      </c>
      <c r="E1308" s="80" t="inlineStr">
        <is>
          <t>CABO NYLON 5/16" TRENZADO</t>
        </is>
      </c>
      <c r="F1308" s="67" t="inlineStr">
        <is>
          <t>KG</t>
        </is>
      </c>
      <c r="G1308" s="84" t="n">
        <v>6.5</v>
      </c>
      <c r="H1308" s="57" t="inlineStr"/>
      <c r="I1308" s="139" t="n">
        <v>167.21</v>
      </c>
      <c r="J1308" s="140" t="n">
        <v>0</v>
      </c>
      <c r="K1308" s="86" t="inlineStr">
        <is>
          <t>PEN</t>
        </is>
      </c>
    </row>
    <row r="1309">
      <c r="A1309" s="84" t="n">
        <v>31009175</v>
      </c>
      <c r="B1309" s="67" t="inlineStr">
        <is>
          <t>TPSU</t>
        </is>
      </c>
      <c r="C1309" s="90" t="inlineStr">
        <is>
          <t>L001</t>
        </is>
      </c>
      <c r="D1309" s="84" t="inlineStr">
        <is>
          <t>Z.CABO</t>
        </is>
      </c>
      <c r="E1309" s="80" t="inlineStr">
        <is>
          <t>CABO POLIETILENO 1.1/8" TORCIDO AZUL</t>
        </is>
      </c>
      <c r="F1309" s="67" t="inlineStr">
        <is>
          <t>KG</t>
        </is>
      </c>
      <c r="G1309" s="84" t="n">
        <v>13.5</v>
      </c>
      <c r="H1309" s="57" t="inlineStr"/>
      <c r="I1309" s="139" t="n">
        <v>225.05</v>
      </c>
      <c r="J1309" s="140" t="n">
        <v>0</v>
      </c>
      <c r="K1309" s="86" t="inlineStr">
        <is>
          <t>PEN</t>
        </is>
      </c>
    </row>
    <row r="1310">
      <c r="A1310" s="84" t="n">
        <v>31009176</v>
      </c>
      <c r="B1310" s="67" t="inlineStr">
        <is>
          <t>TPSU</t>
        </is>
      </c>
      <c r="C1310" s="90" t="inlineStr">
        <is>
          <t>L001</t>
        </is>
      </c>
      <c r="D1310" s="84" t="inlineStr">
        <is>
          <t>Z.CABO</t>
        </is>
      </c>
      <c r="E1310" s="80" t="inlineStr">
        <is>
          <t>CABO POLIETILENO 1.1/8" TORCIDO ROJO</t>
        </is>
      </c>
      <c r="F1310" s="67" t="inlineStr">
        <is>
          <t>KG</t>
        </is>
      </c>
      <c r="G1310" s="84" t="n">
        <v>144.25</v>
      </c>
      <c r="H1310" s="57" t="inlineStr"/>
      <c r="I1310" s="139" t="n">
        <v>2102.4</v>
      </c>
      <c r="J1310" s="140" t="n">
        <v>0</v>
      </c>
      <c r="K1310" s="86" t="inlineStr">
        <is>
          <t>PEN</t>
        </is>
      </c>
    </row>
    <row r="1311">
      <c r="A1311" s="84" t="n">
        <v>31009177</v>
      </c>
      <c r="B1311" s="67" t="inlineStr">
        <is>
          <t>TPSU</t>
        </is>
      </c>
      <c r="C1311" s="90" t="inlineStr">
        <is>
          <t>L001</t>
        </is>
      </c>
      <c r="D1311" s="84" t="inlineStr">
        <is>
          <t>Z.CABO</t>
        </is>
      </c>
      <c r="E1311" s="80" t="inlineStr">
        <is>
          <t>CABO POLIPROPILENO 1.1/2" TRENZADO</t>
        </is>
      </c>
      <c r="F1311" s="67" t="inlineStr">
        <is>
          <t>KG</t>
        </is>
      </c>
      <c r="G1311" s="84" t="n">
        <v>164</v>
      </c>
      <c r="H1311" s="57" t="inlineStr"/>
      <c r="I1311" s="139" t="n">
        <v>3964.45</v>
      </c>
      <c r="J1311" s="140" t="n">
        <v>0</v>
      </c>
      <c r="K1311" s="86" t="inlineStr">
        <is>
          <t>PEN</t>
        </is>
      </c>
    </row>
    <row r="1312">
      <c r="A1312" s="84" t="n">
        <v>31009179</v>
      </c>
      <c r="B1312" s="67" t="inlineStr">
        <is>
          <t>TPSU</t>
        </is>
      </c>
      <c r="C1312" s="90" t="inlineStr">
        <is>
          <t>L001</t>
        </is>
      </c>
      <c r="D1312" s="84" t="inlineStr">
        <is>
          <t>Z.CABO</t>
        </is>
      </c>
      <c r="E1312" s="80" t="inlineStr">
        <is>
          <t>CABO POLYCAB 1.3/4" TORCIDO SUAVE</t>
        </is>
      </c>
      <c r="F1312" s="67" t="inlineStr">
        <is>
          <t>KG</t>
        </is>
      </c>
      <c r="G1312" s="84" t="n">
        <v>585.5</v>
      </c>
      <c r="H1312" s="57" t="inlineStr"/>
      <c r="I1312" s="139" t="n">
        <v>13032.28</v>
      </c>
      <c r="J1312" s="140" t="n">
        <v>0</v>
      </c>
      <c r="K1312" s="86" t="inlineStr">
        <is>
          <t>PEN</t>
        </is>
      </c>
    </row>
    <row r="1313">
      <c r="A1313" s="84" t="n">
        <v>31009181</v>
      </c>
      <c r="B1313" s="67" t="inlineStr">
        <is>
          <t>TPSU</t>
        </is>
      </c>
      <c r="C1313" s="90" t="inlineStr">
        <is>
          <t>L001</t>
        </is>
      </c>
      <c r="D1313" s="84" t="inlineStr">
        <is>
          <t>Z.CABO</t>
        </is>
      </c>
      <c r="E1313" s="80" t="inlineStr">
        <is>
          <t>CABO ULTRAULTIMATE 1 1/2" TRENZADO MEDIA</t>
        </is>
      </c>
      <c r="F1313" s="67" t="inlineStr">
        <is>
          <t>KG</t>
        </is>
      </c>
      <c r="G1313" s="84" t="n">
        <v>350</v>
      </c>
      <c r="H1313" s="57" t="inlineStr"/>
      <c r="I1313" s="139" t="n">
        <v>15432.72</v>
      </c>
      <c r="J1313" s="140" t="n">
        <v>0</v>
      </c>
      <c r="K1313" s="86" t="inlineStr">
        <is>
          <t>PEN</t>
        </is>
      </c>
    </row>
    <row r="1314">
      <c r="A1314" s="84" t="n">
        <v>32005443</v>
      </c>
      <c r="B1314" s="67" t="inlineStr">
        <is>
          <t>TPSU</t>
        </is>
      </c>
      <c r="C1314" s="90" t="inlineStr">
        <is>
          <t>L001</t>
        </is>
      </c>
      <c r="D1314" s="84" t="inlineStr">
        <is>
          <t>Z.CABO 1.1</t>
        </is>
      </c>
      <c r="E1314" s="80" t="inlineStr">
        <is>
          <t>GALONERA 5 GAL</t>
        </is>
      </c>
      <c r="F1314" s="67" t="inlineStr">
        <is>
          <t>UN</t>
        </is>
      </c>
      <c r="G1314" s="84" t="n">
        <v>5</v>
      </c>
      <c r="H1314" s="57" t="inlineStr"/>
      <c r="I1314" s="139" t="n">
        <v>47.6</v>
      </c>
      <c r="J1314" s="140" t="n">
        <v>0</v>
      </c>
      <c r="K1314" s="86" t="inlineStr">
        <is>
          <t>PEN</t>
        </is>
      </c>
    </row>
    <row r="1315">
      <c r="A1315" s="84" t="n">
        <v>31011217</v>
      </c>
      <c r="B1315" s="67" t="inlineStr">
        <is>
          <t>TPSU</t>
        </is>
      </c>
      <c r="C1315" s="90" t="inlineStr">
        <is>
          <t>L001</t>
        </is>
      </c>
      <c r="D1315" s="84" t="inlineStr">
        <is>
          <t>Z.CABO 1.4</t>
        </is>
      </c>
      <c r="E1315" s="80" t="inlineStr">
        <is>
          <t>LAMPA CARBONERA C/MANGO</t>
        </is>
      </c>
      <c r="F1315" s="67" t="inlineStr">
        <is>
          <t>UN</t>
        </is>
      </c>
      <c r="G1315" s="84" t="n">
        <v>5</v>
      </c>
      <c r="H1315" s="57" t="inlineStr"/>
      <c r="I1315" s="139" t="n">
        <v>164.45</v>
      </c>
      <c r="J1315" s="140" t="n">
        <v>0</v>
      </c>
      <c r="K1315" s="86" t="inlineStr">
        <is>
          <t>PEN</t>
        </is>
      </c>
    </row>
    <row r="1316">
      <c r="A1316" s="84" t="n">
        <v>31010963</v>
      </c>
      <c r="B1316" s="67" t="inlineStr">
        <is>
          <t>TPSU</t>
        </is>
      </c>
      <c r="C1316" s="90" t="inlineStr">
        <is>
          <t>L001</t>
        </is>
      </c>
      <c r="D1316" s="84" t="inlineStr">
        <is>
          <t>Z.CABO 1.5</t>
        </is>
      </c>
      <c r="E1316" s="80" t="inlineStr">
        <is>
          <t>HILO NYLON N°144 TRENZADO ALQUITRANADO</t>
        </is>
      </c>
      <c r="F1316" s="67" t="inlineStr">
        <is>
          <t>KG</t>
        </is>
      </c>
      <c r="G1316" s="84" t="n">
        <v>57.8</v>
      </c>
      <c r="H1316" s="57" t="inlineStr"/>
      <c r="I1316" s="139" t="n">
        <v>1268.6</v>
      </c>
      <c r="J1316" s="140" t="n">
        <v>0</v>
      </c>
      <c r="K1316" s="86" t="inlineStr">
        <is>
          <t>PEN</t>
        </is>
      </c>
    </row>
    <row r="1317">
      <c r="A1317" s="84" t="n">
        <v>32005442</v>
      </c>
      <c r="B1317" s="67" t="inlineStr">
        <is>
          <t>TPSU</t>
        </is>
      </c>
      <c r="C1317" s="90" t="inlineStr">
        <is>
          <t>L001</t>
        </is>
      </c>
      <c r="D1317" s="84" t="inlineStr">
        <is>
          <t>Z.CABO 2.1</t>
        </is>
      </c>
      <c r="E1317" s="80" t="inlineStr">
        <is>
          <t>GALONERA 10GAL</t>
        </is>
      </c>
      <c r="F1317" s="67" t="inlineStr">
        <is>
          <t>UN</t>
        </is>
      </c>
      <c r="G1317" s="84" t="n">
        <v>21</v>
      </c>
      <c r="H1317" s="57" t="inlineStr"/>
      <c r="I1317" s="139" t="n">
        <v>412.15</v>
      </c>
      <c r="J1317" s="140" t="n">
        <v>0</v>
      </c>
      <c r="K1317" s="86" t="inlineStr">
        <is>
          <t>PEN</t>
        </is>
      </c>
    </row>
    <row r="1318">
      <c r="A1318" s="84" t="n">
        <v>31010961</v>
      </c>
      <c r="B1318" s="67" t="inlineStr">
        <is>
          <t>TPSU</t>
        </is>
      </c>
      <c r="C1318" s="90" t="inlineStr">
        <is>
          <t>L001</t>
        </is>
      </c>
      <c r="D1318" s="84" t="inlineStr">
        <is>
          <t>Z.CABO 2.1</t>
        </is>
      </c>
      <c r="E1318" s="80" t="inlineStr">
        <is>
          <t>HILO NYLON N° 72 TRENZADO AMARILLO</t>
        </is>
      </c>
      <c r="F1318" s="67" t="inlineStr">
        <is>
          <t>KG</t>
        </is>
      </c>
      <c r="G1318" s="84" t="n">
        <v>5</v>
      </c>
      <c r="H1318" s="57" t="inlineStr"/>
      <c r="I1318" s="139" t="n">
        <v>116.36</v>
      </c>
      <c r="J1318" s="140" t="n">
        <v>0</v>
      </c>
      <c r="K1318" s="86" t="inlineStr">
        <is>
          <t>PEN</t>
        </is>
      </c>
    </row>
    <row r="1319">
      <c r="A1319" s="84" t="n">
        <v>32005444</v>
      </c>
      <c r="B1319" s="67" t="inlineStr">
        <is>
          <t>TPSU</t>
        </is>
      </c>
      <c r="C1319" s="90" t="inlineStr">
        <is>
          <t>L001</t>
        </is>
      </c>
      <c r="D1319" s="84" t="inlineStr">
        <is>
          <t>Z.CABO 2.2</t>
        </is>
      </c>
      <c r="E1319" s="80" t="inlineStr">
        <is>
          <t>GALONERA PLASTICO 1 GAL C/TAPA INTERIOR</t>
        </is>
      </c>
      <c r="F1319" s="67" t="inlineStr">
        <is>
          <t>UN</t>
        </is>
      </c>
      <c r="G1319" s="84" t="n">
        <v>6</v>
      </c>
      <c r="H1319" s="57" t="inlineStr"/>
      <c r="I1319" s="139" t="n">
        <v>29.16</v>
      </c>
      <c r="J1319" s="140" t="n">
        <v>0</v>
      </c>
      <c r="K1319" s="86" t="inlineStr">
        <is>
          <t>PEN</t>
        </is>
      </c>
    </row>
    <row r="1320">
      <c r="A1320" s="84" t="n">
        <v>31010970</v>
      </c>
      <c r="B1320" s="67" t="inlineStr">
        <is>
          <t>TPSU</t>
        </is>
      </c>
      <c r="C1320" s="90" t="inlineStr">
        <is>
          <t>L001</t>
        </is>
      </c>
      <c r="D1320" s="84" t="inlineStr">
        <is>
          <t>Z.CABO 3.1</t>
        </is>
      </c>
      <c r="E1320" s="80" t="inlineStr">
        <is>
          <t>HILO NYLON N°72 TRENZADO ALQUITRANADO</t>
        </is>
      </c>
      <c r="F1320" s="67" t="inlineStr">
        <is>
          <t>KG</t>
        </is>
      </c>
      <c r="G1320" s="84" t="n">
        <v>60</v>
      </c>
      <c r="H1320" s="57" t="inlineStr"/>
      <c r="I1320" s="139" t="n">
        <v>1633.96</v>
      </c>
      <c r="J1320" s="140" t="n">
        <v>0</v>
      </c>
      <c r="K1320" s="86" t="inlineStr">
        <is>
          <t>PEN</t>
        </is>
      </c>
    </row>
    <row r="1321">
      <c r="A1321" s="84" t="n">
        <v>31010959</v>
      </c>
      <c r="B1321" s="67" t="inlineStr">
        <is>
          <t>TPSU</t>
        </is>
      </c>
      <c r="C1321" s="90" t="inlineStr">
        <is>
          <t>L001</t>
        </is>
      </c>
      <c r="D1321" s="84" t="inlineStr">
        <is>
          <t>Z.CABO 3.2</t>
        </is>
      </c>
      <c r="E1321" s="80" t="inlineStr">
        <is>
          <t>HILO NYLON N° 42 TRENZADO AMARILLO</t>
        </is>
      </c>
      <c r="F1321" s="67" t="inlineStr">
        <is>
          <t>KG</t>
        </is>
      </c>
      <c r="G1321" s="84" t="n">
        <v>132</v>
      </c>
      <c r="H1321" s="57" t="inlineStr"/>
      <c r="I1321" s="139" t="n">
        <v>3696.96</v>
      </c>
      <c r="J1321" s="140" t="n">
        <v>0</v>
      </c>
      <c r="K1321" s="86" t="inlineStr">
        <is>
          <t>PEN</t>
        </is>
      </c>
    </row>
    <row r="1322">
      <c r="A1322" s="84" t="n">
        <v>31010958</v>
      </c>
      <c r="B1322" s="67" t="inlineStr">
        <is>
          <t>TPSU</t>
        </is>
      </c>
      <c r="C1322" s="90" t="inlineStr">
        <is>
          <t>L001</t>
        </is>
      </c>
      <c r="D1322" s="84" t="inlineStr">
        <is>
          <t>Z.CABO 4.2</t>
        </is>
      </c>
      <c r="E1322" s="80" t="inlineStr">
        <is>
          <t>HILO NYLON N° 360 TRENZADO AMARILLO</t>
        </is>
      </c>
      <c r="F1322" s="67" t="inlineStr">
        <is>
          <t>KG</t>
        </is>
      </c>
      <c r="G1322" s="84" t="n">
        <v>166</v>
      </c>
      <c r="H1322" s="57" t="inlineStr"/>
      <c r="I1322" s="139" t="n">
        <v>4681.14</v>
      </c>
      <c r="J1322" s="140" t="n">
        <v>0</v>
      </c>
      <c r="K1322" s="86" t="inlineStr">
        <is>
          <t>PEN</t>
        </is>
      </c>
    </row>
    <row r="1323">
      <c r="A1323" s="84" t="n">
        <v>31009178</v>
      </c>
      <c r="B1323" s="67" t="inlineStr">
        <is>
          <t>TPSU</t>
        </is>
      </c>
      <c r="C1323" s="90" t="inlineStr">
        <is>
          <t>L001</t>
        </is>
      </c>
      <c r="D1323" s="84" t="inlineStr">
        <is>
          <t>Z.CABOS</t>
        </is>
      </c>
      <c r="E1323" s="80" t="inlineStr">
        <is>
          <t>CABO POLIPROPILENO 1.1/4" TRENZADO</t>
        </is>
      </c>
      <c r="F1323" s="67" t="inlineStr">
        <is>
          <t>KG</t>
        </is>
      </c>
      <c r="G1323" s="84" t="n">
        <v>110</v>
      </c>
      <c r="H1323" s="57" t="inlineStr"/>
      <c r="I1323" s="139" t="n">
        <v>2659.09</v>
      </c>
      <c r="J1323" s="140" t="n">
        <v>0</v>
      </c>
      <c r="K1323" s="86" t="inlineStr">
        <is>
          <t>PEN</t>
        </is>
      </c>
    </row>
    <row r="1324">
      <c r="A1324" s="84" t="n">
        <v>10200045</v>
      </c>
      <c r="B1324" s="67" t="inlineStr">
        <is>
          <t>TPSU</t>
        </is>
      </c>
      <c r="C1324" s="90" t="inlineStr">
        <is>
          <t>L001</t>
        </is>
      </c>
      <c r="D1324" s="84" t="inlineStr">
        <is>
          <t>Z.DE SODA</t>
        </is>
      </c>
      <c r="E1324" s="80" t="inlineStr">
        <is>
          <t>HIDROXIDO DE SODIO IND 98%</t>
        </is>
      </c>
      <c r="F1324" s="67" t="inlineStr">
        <is>
          <t>KG</t>
        </is>
      </c>
      <c r="G1324" s="84" t="n">
        <v>12850</v>
      </c>
      <c r="H1324" s="57" t="inlineStr">
        <is>
          <t>202205</t>
        </is>
      </c>
      <c r="I1324" s="139" t="n">
        <v>58745.02</v>
      </c>
      <c r="J1324" s="140" t="n">
        <v>0</v>
      </c>
      <c r="K1324" s="86" t="inlineStr">
        <is>
          <t>PEN</t>
        </is>
      </c>
    </row>
    <row r="1325">
      <c r="A1325" s="84" t="n">
        <v>10200045</v>
      </c>
      <c r="B1325" s="67" t="inlineStr">
        <is>
          <t>TPSU</t>
        </is>
      </c>
      <c r="C1325" s="90" t="inlineStr">
        <is>
          <t>L001</t>
        </is>
      </c>
      <c r="D1325" s="84" t="inlineStr">
        <is>
          <t>Z.DE SODA</t>
        </is>
      </c>
      <c r="E1325" s="80" t="inlineStr">
        <is>
          <t>HIDROXIDO DE SODIO IND 98%</t>
        </is>
      </c>
      <c r="F1325" s="67" t="inlineStr">
        <is>
          <t>KG</t>
        </is>
      </c>
      <c r="G1325" s="84" t="n">
        <v>4000</v>
      </c>
      <c r="H1325" s="57" t="inlineStr">
        <is>
          <t>202206</t>
        </is>
      </c>
      <c r="I1325" s="139" t="n">
        <v>18286.39</v>
      </c>
      <c r="J1325" s="140" t="n">
        <v>66.69625000000001</v>
      </c>
      <c r="K1325" s="86" t="inlineStr">
        <is>
          <t>PEN</t>
        </is>
      </c>
    </row>
    <row r="1326">
      <c r="A1326" s="84" t="n">
        <v>31010022</v>
      </c>
      <c r="B1326" s="67" t="inlineStr">
        <is>
          <t>TPSU</t>
        </is>
      </c>
      <c r="C1326" s="90" t="inlineStr">
        <is>
          <t>L001</t>
        </is>
      </c>
      <c r="D1326" s="84" t="inlineStr">
        <is>
          <t>Z.EMPAQUES</t>
        </is>
      </c>
      <c r="E1326" s="80" t="inlineStr">
        <is>
          <t>EMPAQ. FIB.VEGET. VITOR. 1/32"</t>
        </is>
      </c>
      <c r="F1326" s="67" t="inlineStr">
        <is>
          <t>KG</t>
        </is>
      </c>
      <c r="G1326" s="84" t="n">
        <v>1.35</v>
      </c>
      <c r="H1326" s="57" t="inlineStr"/>
      <c r="I1326" s="139" t="n">
        <v>37.91</v>
      </c>
      <c r="J1326" s="140" t="n">
        <v>187.176</v>
      </c>
      <c r="K1326" s="86" t="inlineStr">
        <is>
          <t>PEN</t>
        </is>
      </c>
    </row>
    <row r="1327">
      <c r="A1327" s="84" t="n">
        <v>31010066</v>
      </c>
      <c r="B1327" s="67" t="inlineStr">
        <is>
          <t>TPSU</t>
        </is>
      </c>
      <c r="C1327" s="90" t="inlineStr">
        <is>
          <t>L001</t>
        </is>
      </c>
      <c r="D1327" s="84" t="inlineStr">
        <is>
          <t>Z.EMPAQUES</t>
        </is>
      </c>
      <c r="E1327" s="80" t="inlineStr">
        <is>
          <t>EMPAQ. JEBE Y LONA 1/4" X 1 MT</t>
        </is>
      </c>
      <c r="F1327" s="67" t="inlineStr">
        <is>
          <t>M</t>
        </is>
      </c>
      <c r="G1327" s="84" t="n">
        <v>5</v>
      </c>
      <c r="H1327" s="57" t="inlineStr"/>
      <c r="I1327" s="139" t="n">
        <v>353.83</v>
      </c>
      <c r="J1327" s="140" t="n">
        <v>0</v>
      </c>
      <c r="K1327" s="86" t="inlineStr">
        <is>
          <t>PEN</t>
        </is>
      </c>
    </row>
    <row r="1328">
      <c r="A1328" s="84" t="n">
        <v>31010067</v>
      </c>
      <c r="B1328" s="67" t="inlineStr">
        <is>
          <t>TPSU</t>
        </is>
      </c>
      <c r="C1328" s="90" t="inlineStr">
        <is>
          <t>L001</t>
        </is>
      </c>
      <c r="D1328" s="84" t="inlineStr">
        <is>
          <t>Z.EMPAQUES</t>
        </is>
      </c>
      <c r="E1328" s="80" t="inlineStr">
        <is>
          <t>EMPAQ. JEBE Y LONA 1/4" X 1.2 MT</t>
        </is>
      </c>
      <c r="F1328" s="67" t="inlineStr">
        <is>
          <t>M</t>
        </is>
      </c>
      <c r="G1328" s="84" t="n">
        <v>7.6</v>
      </c>
      <c r="H1328" s="57" t="inlineStr"/>
      <c r="I1328" s="139" t="n">
        <v>533.75</v>
      </c>
      <c r="J1328" s="140" t="n">
        <v>0</v>
      </c>
      <c r="K1328" s="86" t="inlineStr">
        <is>
          <t>PEN</t>
        </is>
      </c>
    </row>
    <row r="1329">
      <c r="A1329" s="84" t="n">
        <v>31010071</v>
      </c>
      <c r="B1329" s="67" t="inlineStr">
        <is>
          <t>TPSU</t>
        </is>
      </c>
      <c r="C1329" s="90" t="inlineStr">
        <is>
          <t>L001</t>
        </is>
      </c>
      <c r="D1329" s="84" t="inlineStr">
        <is>
          <t>Z.EMPAQUES</t>
        </is>
      </c>
      <c r="E1329" s="80" t="inlineStr">
        <is>
          <t>EMPAQ. JEBE Y LONA 1/8" X 1MT</t>
        </is>
      </c>
      <c r="F1329" s="67" t="inlineStr">
        <is>
          <t>M</t>
        </is>
      </c>
      <c r="G1329" s="84" t="n">
        <v>6.7</v>
      </c>
      <c r="H1329" s="57" t="inlineStr">
        <is>
          <t>NUEVO</t>
        </is>
      </c>
      <c r="I1329" s="139" t="n">
        <v>459.15</v>
      </c>
      <c r="J1329" s="140" t="n">
        <v>0</v>
      </c>
      <c r="K1329" s="86" t="inlineStr">
        <is>
          <t>PEN</t>
        </is>
      </c>
    </row>
    <row r="1330">
      <c r="A1330" s="84" t="n">
        <v>33032544</v>
      </c>
      <c r="B1330" s="67" t="inlineStr">
        <is>
          <t>TPSU</t>
        </is>
      </c>
      <c r="C1330" s="90" t="inlineStr">
        <is>
          <t>L001</t>
        </is>
      </c>
      <c r="D1330" s="84" t="inlineStr">
        <is>
          <t>Z.EMPAQUES</t>
        </is>
      </c>
      <c r="E1330" s="141" t="inlineStr">
        <is>
          <t>FAJA SANITARIA 1/4" X 0.66MT</t>
        </is>
      </c>
      <c r="F1330" s="67" t="inlineStr">
        <is>
          <t>M</t>
        </is>
      </c>
      <c r="G1330" s="84" t="n">
        <v>20</v>
      </c>
      <c r="H1330" s="57" t="inlineStr">
        <is>
          <t>NUEVO</t>
        </is>
      </c>
      <c r="I1330" s="139" t="n">
        <v>2614.6</v>
      </c>
      <c r="J1330" s="140" t="n">
        <v>0</v>
      </c>
      <c r="K1330" s="86" t="inlineStr">
        <is>
          <t>PEN</t>
        </is>
      </c>
    </row>
    <row r="1331">
      <c r="A1331" s="84" t="n">
        <v>20000671</v>
      </c>
      <c r="B1331" s="84" t="inlineStr">
        <is>
          <t>TPSU</t>
        </is>
      </c>
      <c r="C1331" s="91" t="inlineStr">
        <is>
          <t>L001</t>
        </is>
      </c>
      <c r="D1331" s="84" t="inlineStr">
        <is>
          <t>Z.GASES</t>
        </is>
      </c>
      <c r="E1331" s="80" t="inlineStr">
        <is>
          <t>BOTELLA DE GAS GLP X 15 KG.(ENVASE)</t>
        </is>
      </c>
      <c r="F1331" s="67" t="inlineStr">
        <is>
          <t>UN</t>
        </is>
      </c>
      <c r="G1331" s="84" t="n">
        <v>1</v>
      </c>
      <c r="H1331" s="84" t="inlineStr">
        <is>
          <t>SG02434174</t>
        </is>
      </c>
      <c r="I1331" s="139" t="n">
        <v>0</v>
      </c>
      <c r="J1331" s="140" t="n">
        <v>0</v>
      </c>
      <c r="K1331" s="86" t="inlineStr">
        <is>
          <t>PEN</t>
        </is>
      </c>
    </row>
    <row r="1332">
      <c r="A1332" s="84" t="n">
        <v>20000671</v>
      </c>
      <c r="B1332" s="84" t="inlineStr">
        <is>
          <t>TPSU</t>
        </is>
      </c>
      <c r="C1332" s="91" t="inlineStr">
        <is>
          <t>L001</t>
        </is>
      </c>
      <c r="D1332" s="84" t="inlineStr">
        <is>
          <t>Z.GASES</t>
        </is>
      </c>
      <c r="E1332" s="80" t="inlineStr">
        <is>
          <t>BOTELLA DE GAS GLP X 15 KG.(ENVASE)</t>
        </is>
      </c>
      <c r="F1332" s="67" t="inlineStr">
        <is>
          <t>UN</t>
        </is>
      </c>
      <c r="G1332" s="84" t="n">
        <v>1</v>
      </c>
      <c r="H1332" s="84" t="inlineStr">
        <is>
          <t>SG02579095</t>
        </is>
      </c>
      <c r="I1332" s="139" t="n">
        <v>0</v>
      </c>
      <c r="J1332" s="140" t="n">
        <v>0</v>
      </c>
      <c r="K1332" s="86" t="inlineStr">
        <is>
          <t>PEN</t>
        </is>
      </c>
    </row>
    <row r="1333">
      <c r="A1333" s="84" t="n">
        <v>20000671</v>
      </c>
      <c r="B1333" s="84" t="inlineStr">
        <is>
          <t>TPSU</t>
        </is>
      </c>
      <c r="C1333" s="91" t="inlineStr">
        <is>
          <t>L001</t>
        </is>
      </c>
      <c r="D1333" s="84" t="inlineStr">
        <is>
          <t>Z.GASES</t>
        </is>
      </c>
      <c r="E1333" s="80" t="inlineStr">
        <is>
          <t>BOTELLA DE GAS GLP X 15 KG.(ENVASE)</t>
        </is>
      </c>
      <c r="F1333" s="67" t="inlineStr">
        <is>
          <t>UN</t>
        </is>
      </c>
      <c r="G1333" s="84" t="n">
        <v>1</v>
      </c>
      <c r="H1333" s="84" t="inlineStr">
        <is>
          <t>SG03421026</t>
        </is>
      </c>
      <c r="I1333" s="139" t="n">
        <v>0</v>
      </c>
      <c r="J1333" s="140" t="n">
        <v>0</v>
      </c>
      <c r="K1333" s="86" t="inlineStr">
        <is>
          <t>PEN</t>
        </is>
      </c>
    </row>
    <row r="1334">
      <c r="A1334" s="84" t="n">
        <v>20000671</v>
      </c>
      <c r="B1334" s="84" t="inlineStr">
        <is>
          <t>TPSU</t>
        </is>
      </c>
      <c r="C1334" s="91" t="inlineStr">
        <is>
          <t>L001</t>
        </is>
      </c>
      <c r="D1334" s="84" t="inlineStr">
        <is>
          <t>Z.GASES</t>
        </is>
      </c>
      <c r="E1334" s="80" t="inlineStr">
        <is>
          <t>BOTELLA DE GAS GLP X 15 KG.(ENVASE)</t>
        </is>
      </c>
      <c r="F1334" s="67" t="inlineStr">
        <is>
          <t>UN</t>
        </is>
      </c>
      <c r="G1334" s="84" t="n">
        <v>1</v>
      </c>
      <c r="H1334" s="84" t="inlineStr">
        <is>
          <t>SG03421301</t>
        </is>
      </c>
      <c r="I1334" s="139" t="n">
        <v>0</v>
      </c>
      <c r="J1334" s="140" t="n">
        <v>0</v>
      </c>
      <c r="K1334" s="86" t="inlineStr">
        <is>
          <t>PEN</t>
        </is>
      </c>
    </row>
    <row r="1335">
      <c r="A1335" s="84" t="n">
        <v>20000671</v>
      </c>
      <c r="B1335" s="84" t="inlineStr">
        <is>
          <t>TPSU</t>
        </is>
      </c>
      <c r="C1335" s="91" t="inlineStr">
        <is>
          <t>L001</t>
        </is>
      </c>
      <c r="D1335" s="84" t="inlineStr">
        <is>
          <t>Z.GASES</t>
        </is>
      </c>
      <c r="E1335" s="80" t="inlineStr">
        <is>
          <t>BOTELLA DE GAS GLP X 15 KG.(ENVASE)</t>
        </is>
      </c>
      <c r="F1335" s="67" t="inlineStr">
        <is>
          <t>UN</t>
        </is>
      </c>
      <c r="G1335" s="84" t="n">
        <v>1</v>
      </c>
      <c r="H1335" s="84" t="inlineStr">
        <is>
          <t>SG03509307</t>
        </is>
      </c>
      <c r="I1335" s="139" t="n">
        <v>0</v>
      </c>
      <c r="J1335" s="140" t="n">
        <v>0</v>
      </c>
      <c r="K1335" s="86" t="inlineStr">
        <is>
          <t>PEN</t>
        </is>
      </c>
    </row>
    <row r="1336">
      <c r="A1336" s="84" t="n">
        <v>20000671</v>
      </c>
      <c r="B1336" s="84" t="inlineStr">
        <is>
          <t>TPSU</t>
        </is>
      </c>
      <c r="C1336" s="91" t="inlineStr">
        <is>
          <t>L001</t>
        </is>
      </c>
      <c r="D1336" s="84" t="inlineStr">
        <is>
          <t>Z.GASES</t>
        </is>
      </c>
      <c r="E1336" s="80" t="inlineStr">
        <is>
          <t>BOTELLA DE GAS GLP X 15 KG.(ENVASE)</t>
        </is>
      </c>
      <c r="F1336" s="67" t="inlineStr">
        <is>
          <t>UN</t>
        </is>
      </c>
      <c r="G1336" s="84" t="n">
        <v>1</v>
      </c>
      <c r="H1336" s="84" t="inlineStr">
        <is>
          <t>SG03911651</t>
        </is>
      </c>
      <c r="I1336" s="139" t="n">
        <v>0</v>
      </c>
      <c r="J1336" s="140" t="n">
        <v>0</v>
      </c>
      <c r="K1336" s="86" t="inlineStr">
        <is>
          <t>PEN</t>
        </is>
      </c>
    </row>
    <row r="1337">
      <c r="A1337" s="84" t="n">
        <v>20000671</v>
      </c>
      <c r="B1337" s="84" t="inlineStr">
        <is>
          <t>TPSU</t>
        </is>
      </c>
      <c r="C1337" s="91" t="inlineStr">
        <is>
          <t>L001</t>
        </is>
      </c>
      <c r="D1337" s="84" t="inlineStr">
        <is>
          <t>Z.GASES</t>
        </is>
      </c>
      <c r="E1337" s="80" t="inlineStr">
        <is>
          <t>BOTELLA DE GAS GLP X 15 KG.(ENVASE)</t>
        </is>
      </c>
      <c r="F1337" s="67" t="inlineStr">
        <is>
          <t>UN</t>
        </is>
      </c>
      <c r="G1337" s="84" t="n">
        <v>1</v>
      </c>
      <c r="H1337" s="84" t="inlineStr">
        <is>
          <t>SG03912149</t>
        </is>
      </c>
      <c r="I1337" s="139" t="n">
        <v>0</v>
      </c>
      <c r="J1337" s="140" t="n">
        <v>0</v>
      </c>
      <c r="K1337" s="86" t="inlineStr">
        <is>
          <t>PEN</t>
        </is>
      </c>
    </row>
    <row r="1338">
      <c r="A1338" s="84" t="n">
        <v>20000671</v>
      </c>
      <c r="B1338" s="84" t="inlineStr">
        <is>
          <t>TPSU</t>
        </is>
      </c>
      <c r="C1338" s="91" t="inlineStr">
        <is>
          <t>L001</t>
        </is>
      </c>
      <c r="D1338" s="84" t="inlineStr">
        <is>
          <t>Z.GASES</t>
        </is>
      </c>
      <c r="E1338" s="80" t="inlineStr">
        <is>
          <t>BOTELLA DE GAS GLP X 15 KG.(ENVASE)</t>
        </is>
      </c>
      <c r="F1338" s="67" t="inlineStr">
        <is>
          <t>UN</t>
        </is>
      </c>
      <c r="G1338" s="84" t="n">
        <v>1</v>
      </c>
      <c r="H1338" s="84" t="inlineStr">
        <is>
          <t>SG04179267</t>
        </is>
      </c>
      <c r="I1338" s="139" t="n">
        <v>0</v>
      </c>
      <c r="J1338" s="140" t="n">
        <v>8.800000000000001</v>
      </c>
      <c r="K1338" s="86" t="inlineStr">
        <is>
          <t>PEN</t>
        </is>
      </c>
    </row>
    <row r="1339">
      <c r="A1339" s="84" t="n">
        <v>20000671</v>
      </c>
      <c r="B1339" s="84" t="inlineStr">
        <is>
          <t>TPSU</t>
        </is>
      </c>
      <c r="C1339" s="91" t="inlineStr">
        <is>
          <t>L001</t>
        </is>
      </c>
      <c r="D1339" s="84" t="inlineStr">
        <is>
          <t>Z.GASES</t>
        </is>
      </c>
      <c r="E1339" s="80" t="inlineStr">
        <is>
          <t>BOTELLA DE GAS GLP X 15 KG.(ENVASE)</t>
        </is>
      </c>
      <c r="F1339" s="67" t="inlineStr">
        <is>
          <t>UN</t>
        </is>
      </c>
      <c r="G1339" s="84" t="n">
        <v>1</v>
      </c>
      <c r="H1339" s="84" t="inlineStr">
        <is>
          <t>SG04502154</t>
        </is>
      </c>
      <c r="I1339" s="139" t="n">
        <v>0</v>
      </c>
      <c r="J1339" s="140" t="n">
        <v>305.65</v>
      </c>
      <c r="K1339" s="86" t="inlineStr">
        <is>
          <t>PEN</t>
        </is>
      </c>
    </row>
    <row r="1340">
      <c r="A1340" s="84" t="n">
        <v>20000671</v>
      </c>
      <c r="B1340" s="84" t="inlineStr">
        <is>
          <t>TPSU</t>
        </is>
      </c>
      <c r="C1340" s="91" t="inlineStr">
        <is>
          <t>L001</t>
        </is>
      </c>
      <c r="D1340" s="84" t="inlineStr">
        <is>
          <t>Z.GASES</t>
        </is>
      </c>
      <c r="E1340" s="80" t="inlineStr">
        <is>
          <t>BOTELLA DE GAS GLP X 15 KG.(ENVASE)</t>
        </is>
      </c>
      <c r="F1340" s="67" t="inlineStr">
        <is>
          <t>UN</t>
        </is>
      </c>
      <c r="G1340" s="84" t="n">
        <v>1</v>
      </c>
      <c r="H1340" s="84" t="inlineStr">
        <is>
          <t>SG04516639</t>
        </is>
      </c>
      <c r="I1340" s="139" t="n">
        <v>0</v>
      </c>
      <c r="J1340" s="140" t="n">
        <v>14.83</v>
      </c>
      <c r="K1340" s="86" t="inlineStr">
        <is>
          <t>PEN</t>
        </is>
      </c>
    </row>
    <row r="1341">
      <c r="A1341" s="84" t="n">
        <v>20000671</v>
      </c>
      <c r="B1341" s="84" t="inlineStr">
        <is>
          <t>TPSU</t>
        </is>
      </c>
      <c r="C1341" s="91" t="inlineStr">
        <is>
          <t>L001</t>
        </is>
      </c>
      <c r="D1341" s="84" t="inlineStr">
        <is>
          <t>Z.GASES</t>
        </is>
      </c>
      <c r="E1341" s="80" t="inlineStr">
        <is>
          <t>BOTELLA DE GAS GLP X 15 KG.(ENVASE)</t>
        </is>
      </c>
      <c r="F1341" s="67" t="inlineStr">
        <is>
          <t>UN</t>
        </is>
      </c>
      <c r="G1341" s="84" t="n">
        <v>1</v>
      </c>
      <c r="H1341" s="84" t="inlineStr">
        <is>
          <t>SG04516933</t>
        </is>
      </c>
      <c r="I1341" s="139" t="n">
        <v>0</v>
      </c>
      <c r="J1341" s="140" t="n">
        <v>75.3</v>
      </c>
      <c r="K1341" s="86" t="inlineStr">
        <is>
          <t>PEN</t>
        </is>
      </c>
    </row>
    <row r="1342">
      <c r="A1342" s="84" t="n">
        <v>20000671</v>
      </c>
      <c r="B1342" s="84" t="inlineStr">
        <is>
          <t>TPSU</t>
        </is>
      </c>
      <c r="C1342" s="91" t="inlineStr">
        <is>
          <t>L001</t>
        </is>
      </c>
      <c r="D1342" s="84" t="inlineStr">
        <is>
          <t>Z.GASES</t>
        </is>
      </c>
      <c r="E1342" s="80" t="inlineStr">
        <is>
          <t>BOTELLA DE GAS GLP X 15 KG.(ENVASE)</t>
        </is>
      </c>
      <c r="F1342" s="67" t="inlineStr">
        <is>
          <t>UN</t>
        </is>
      </c>
      <c r="G1342" s="84" t="n">
        <v>1</v>
      </c>
      <c r="H1342" s="84" t="inlineStr">
        <is>
          <t>SG04751899</t>
        </is>
      </c>
      <c r="I1342" s="139" t="n">
        <v>0</v>
      </c>
      <c r="J1342" s="140" t="n">
        <v>254.1592356687898</v>
      </c>
      <c r="K1342" s="86" t="inlineStr">
        <is>
          <t>PEN</t>
        </is>
      </c>
    </row>
    <row r="1343">
      <c r="A1343" s="84" t="n">
        <v>20000671</v>
      </c>
      <c r="B1343" s="84" t="inlineStr">
        <is>
          <t>TPSU</t>
        </is>
      </c>
      <c r="C1343" s="91" t="inlineStr">
        <is>
          <t>L001</t>
        </is>
      </c>
      <c r="D1343" s="84" t="inlineStr">
        <is>
          <t>Z.GASES</t>
        </is>
      </c>
      <c r="E1343" s="80" t="inlineStr">
        <is>
          <t>BOTELLA DE GAS GLP X 15 KG.(ENVASE)</t>
        </is>
      </c>
      <c r="F1343" s="67" t="inlineStr">
        <is>
          <t>UN</t>
        </is>
      </c>
      <c r="G1343" s="84" t="n">
        <v>1</v>
      </c>
      <c r="H1343" s="84" t="inlineStr">
        <is>
          <t>SG04842133</t>
        </is>
      </c>
      <c r="I1343" s="139" t="n">
        <v>0</v>
      </c>
      <c r="J1343" s="140" t="n">
        <v>3.658679666666667</v>
      </c>
      <c r="K1343" s="86" t="inlineStr">
        <is>
          <t>PEN</t>
        </is>
      </c>
    </row>
    <row r="1344">
      <c r="A1344" s="84" t="n">
        <v>20000671</v>
      </c>
      <c r="B1344" s="84" t="inlineStr">
        <is>
          <t>TPSU</t>
        </is>
      </c>
      <c r="C1344" s="91" t="inlineStr">
        <is>
          <t>L001</t>
        </is>
      </c>
      <c r="D1344" s="84" t="inlineStr">
        <is>
          <t>Z.GASES</t>
        </is>
      </c>
      <c r="E1344" s="80" t="inlineStr">
        <is>
          <t>BOTELLA DE GAS GLP X 15 KG.(ENVASE)</t>
        </is>
      </c>
      <c r="F1344" s="67" t="inlineStr">
        <is>
          <t>UN</t>
        </is>
      </c>
      <c r="G1344" s="84" t="n">
        <v>1</v>
      </c>
      <c r="H1344" s="84" t="inlineStr">
        <is>
          <t>SGK809132</t>
        </is>
      </c>
      <c r="I1344" s="139" t="n">
        <v>0</v>
      </c>
      <c r="J1344" s="140" t="n">
        <v>3.658679655172414</v>
      </c>
      <c r="K1344" s="86" t="inlineStr">
        <is>
          <t>PEN</t>
        </is>
      </c>
    </row>
    <row r="1345">
      <c r="A1345" s="84" t="n">
        <v>20000671</v>
      </c>
      <c r="B1345" s="84" t="inlineStr">
        <is>
          <t>TPSU</t>
        </is>
      </c>
      <c r="C1345" s="91" t="inlineStr">
        <is>
          <t>L001</t>
        </is>
      </c>
      <c r="D1345" s="84" t="inlineStr">
        <is>
          <t>Z.GASES</t>
        </is>
      </c>
      <c r="E1345" s="80" t="inlineStr">
        <is>
          <t>BOTELLA DE GAS GLP X 15 KG.(ENVASE)</t>
        </is>
      </c>
      <c r="F1345" s="67" t="inlineStr">
        <is>
          <t>UN</t>
        </is>
      </c>
      <c r="G1345" s="84" t="n">
        <v>1</v>
      </c>
      <c r="H1345" s="84" t="inlineStr">
        <is>
          <t>SGK809416</t>
        </is>
      </c>
      <c r="I1345" s="139" t="n">
        <v>0</v>
      </c>
      <c r="J1345" s="140" t="n">
        <v>3.658679666666667</v>
      </c>
      <c r="K1345" s="86" t="inlineStr">
        <is>
          <t>PEN</t>
        </is>
      </c>
    </row>
    <row r="1346">
      <c r="A1346" s="84" t="n">
        <v>20000671</v>
      </c>
      <c r="B1346" s="84" t="inlineStr">
        <is>
          <t>TPSU</t>
        </is>
      </c>
      <c r="C1346" s="91" t="inlineStr">
        <is>
          <t>L001</t>
        </is>
      </c>
      <c r="D1346" s="84" t="inlineStr">
        <is>
          <t>Z.GASES</t>
        </is>
      </c>
      <c r="E1346" s="80" t="inlineStr">
        <is>
          <t>BOTELLA DE GAS GLP X 15 KG.(ENVASE)</t>
        </is>
      </c>
      <c r="F1346" s="67" t="inlineStr">
        <is>
          <t>UN</t>
        </is>
      </c>
      <c r="G1346" s="84" t="n">
        <v>1</v>
      </c>
      <c r="H1346" s="84" t="inlineStr">
        <is>
          <t>SGK861760</t>
        </is>
      </c>
      <c r="I1346" s="139" t="n">
        <v>0</v>
      </c>
      <c r="J1346" s="140" t="e">
        <v>#DIV/0!</v>
      </c>
      <c r="K1346" s="86" t="inlineStr">
        <is>
          <t>PEN</t>
        </is>
      </c>
    </row>
    <row r="1347">
      <c r="A1347" s="84" t="n">
        <v>20000671</v>
      </c>
      <c r="B1347" s="84" t="inlineStr">
        <is>
          <t>TPSU</t>
        </is>
      </c>
      <c r="C1347" s="91" t="inlineStr">
        <is>
          <t>L004</t>
        </is>
      </c>
      <c r="D1347" s="84" t="inlineStr">
        <is>
          <t>Z.GASES</t>
        </is>
      </c>
      <c r="E1347" s="80" t="inlineStr">
        <is>
          <t>BOTELLA DE GAS GLP X 15 KG.(ENVASE)</t>
        </is>
      </c>
      <c r="F1347" s="67" t="inlineStr">
        <is>
          <t>UN</t>
        </is>
      </c>
      <c r="G1347" s="84" t="n">
        <v>3</v>
      </c>
      <c r="H1347" s="84" t="inlineStr">
        <is>
          <t>TASA</t>
        </is>
      </c>
      <c r="I1347" s="139" t="n">
        <v>0</v>
      </c>
      <c r="J1347" s="140" t="n">
        <v>391.02</v>
      </c>
      <c r="K1347" s="86" t="inlineStr">
        <is>
          <t>PEN</t>
        </is>
      </c>
    </row>
    <row r="1348">
      <c r="A1348" s="84" t="n">
        <v>20000670</v>
      </c>
      <c r="B1348" s="84" t="inlineStr">
        <is>
          <t>TPSU</t>
        </is>
      </c>
      <c r="C1348" s="91" t="inlineStr">
        <is>
          <t>L004</t>
        </is>
      </c>
      <c r="D1348" s="84" t="inlineStr">
        <is>
          <t>Z.GASES</t>
        </is>
      </c>
      <c r="E1348" s="80" t="inlineStr">
        <is>
          <t>BOTELLA DE GAS PROPANO X 10 KG.(ENVASE)</t>
        </is>
      </c>
      <c r="F1348" s="67" t="inlineStr">
        <is>
          <t>UN</t>
        </is>
      </c>
      <c r="G1348" s="84" t="n">
        <v>5</v>
      </c>
      <c r="H1348" s="84" t="inlineStr">
        <is>
          <t>TASA</t>
        </is>
      </c>
      <c r="I1348" s="139" t="n">
        <v>0</v>
      </c>
      <c r="J1348" s="140" t="n">
        <v>406.32</v>
      </c>
      <c r="K1348" s="86" t="inlineStr">
        <is>
          <t>PEN</t>
        </is>
      </c>
    </row>
    <row r="1349">
      <c r="A1349" s="84" t="n">
        <v>20000669</v>
      </c>
      <c r="B1349" s="84" t="inlineStr">
        <is>
          <t>TPSU</t>
        </is>
      </c>
      <c r="C1349" s="91" t="inlineStr">
        <is>
          <t>L001</t>
        </is>
      </c>
      <c r="D1349" s="84" t="inlineStr">
        <is>
          <t>Z.GASES</t>
        </is>
      </c>
      <c r="E1349" s="80" t="inlineStr">
        <is>
          <t>BOTELLA DE GAS PROPANO X 45 KG.(ENVASE)</t>
        </is>
      </c>
      <c r="F1349" s="67" t="inlineStr">
        <is>
          <t>UN</t>
        </is>
      </c>
      <c r="G1349" s="84" t="n">
        <v>4</v>
      </c>
      <c r="H1349" s="84" t="inlineStr">
        <is>
          <t>SG006-1206</t>
        </is>
      </c>
      <c r="I1349" s="139" t="n">
        <v>0</v>
      </c>
      <c r="J1349" s="140" t="n">
        <v>559.9299999999999</v>
      </c>
      <c r="K1349" s="86" t="inlineStr">
        <is>
          <t>PEN</t>
        </is>
      </c>
    </row>
    <row r="1350">
      <c r="A1350" s="84" t="n">
        <v>20000669</v>
      </c>
      <c r="B1350" s="84" t="inlineStr">
        <is>
          <t>TPSU</t>
        </is>
      </c>
      <c r="C1350" s="91" t="inlineStr">
        <is>
          <t>L001</t>
        </is>
      </c>
      <c r="D1350" s="84" t="inlineStr">
        <is>
          <t>Z.GASES</t>
        </is>
      </c>
      <c r="E1350" s="80" t="inlineStr">
        <is>
          <t>BOTELLA DE GAS PROPANO X 45 KG.(ENVASE)</t>
        </is>
      </c>
      <c r="F1350" s="67" t="inlineStr">
        <is>
          <t>UN</t>
        </is>
      </c>
      <c r="G1350" s="84" t="n">
        <v>2</v>
      </c>
      <c r="H1350" s="84" t="inlineStr">
        <is>
          <t>SG006-1340</t>
        </is>
      </c>
      <c r="I1350" s="139" t="n">
        <v>0</v>
      </c>
      <c r="J1350" s="140" t="n">
        <v>1094.33</v>
      </c>
      <c r="K1350" s="86" t="inlineStr">
        <is>
          <t>PEN</t>
        </is>
      </c>
    </row>
    <row r="1351">
      <c r="A1351" s="84" t="n">
        <v>20000669</v>
      </c>
      <c r="B1351" s="84" t="inlineStr">
        <is>
          <t>TPSU</t>
        </is>
      </c>
      <c r="C1351" s="91" t="inlineStr">
        <is>
          <t>L001</t>
        </is>
      </c>
      <c r="D1351" s="84" t="inlineStr">
        <is>
          <t>Z.GASES</t>
        </is>
      </c>
      <c r="E1351" s="80" t="inlineStr">
        <is>
          <t>BOTELLA DE GAS PROPANO X 45 KG.(ENVASE)</t>
        </is>
      </c>
      <c r="F1351" s="67" t="inlineStr">
        <is>
          <t>UN</t>
        </is>
      </c>
      <c r="G1351" s="84" t="n">
        <v>2</v>
      </c>
      <c r="H1351" s="84" t="inlineStr">
        <is>
          <t>SL-2883</t>
        </is>
      </c>
      <c r="I1351" s="139" t="n">
        <v>0</v>
      </c>
      <c r="J1351" s="140" t="n">
        <v>1094.33</v>
      </c>
      <c r="K1351" s="86" t="inlineStr">
        <is>
          <t>PEN</t>
        </is>
      </c>
    </row>
    <row r="1352">
      <c r="A1352" s="84" t="n">
        <v>20000669</v>
      </c>
      <c r="B1352" s="84" t="inlineStr">
        <is>
          <t>TPSU</t>
        </is>
      </c>
      <c r="C1352" s="91" t="inlineStr">
        <is>
          <t>L001</t>
        </is>
      </c>
      <c r="D1352" s="84" t="inlineStr">
        <is>
          <t>Z.GASES</t>
        </is>
      </c>
      <c r="E1352" s="80" t="inlineStr">
        <is>
          <t>BOTELLA DE GAS PROPANO X 45 KG.(ENVASE)</t>
        </is>
      </c>
      <c r="F1352" s="67" t="inlineStr">
        <is>
          <t>UN</t>
        </is>
      </c>
      <c r="G1352" s="84" t="n">
        <v>2</v>
      </c>
      <c r="H1352" s="84" t="inlineStr">
        <is>
          <t>SL006-1362</t>
        </is>
      </c>
      <c r="I1352" s="139" t="n">
        <v>0</v>
      </c>
      <c r="J1352" s="140" t="n">
        <v>160.1028571428571</v>
      </c>
      <c r="K1352" s="86" t="inlineStr">
        <is>
          <t>PEN</t>
        </is>
      </c>
    </row>
    <row r="1353">
      <c r="A1353" s="84" t="n">
        <v>20000669</v>
      </c>
      <c r="B1353" s="84" t="inlineStr">
        <is>
          <t>TPSU</t>
        </is>
      </c>
      <c r="C1353" s="91" t="inlineStr">
        <is>
          <t>L001</t>
        </is>
      </c>
      <c r="D1353" s="84" t="inlineStr">
        <is>
          <t>Z.GASES</t>
        </is>
      </c>
      <c r="E1353" s="80" t="inlineStr">
        <is>
          <t>BOTELLA DE GAS PROPANO X 45 KG.(ENVASE)</t>
        </is>
      </c>
      <c r="F1353" s="67" t="inlineStr">
        <is>
          <t>UN</t>
        </is>
      </c>
      <c r="G1353" s="84" t="n">
        <v>6</v>
      </c>
      <c r="H1353" s="84" t="inlineStr">
        <is>
          <t>SL006-1438</t>
        </is>
      </c>
      <c r="I1353" s="139" t="n">
        <v>0</v>
      </c>
      <c r="J1353" s="140" t="n">
        <v>1017.33</v>
      </c>
      <c r="K1353" s="86" t="inlineStr">
        <is>
          <t>PEN</t>
        </is>
      </c>
    </row>
    <row r="1354">
      <c r="A1354" s="84" t="n">
        <v>20000669</v>
      </c>
      <c r="B1354" s="84" t="inlineStr">
        <is>
          <t>TPSU</t>
        </is>
      </c>
      <c r="C1354" s="91" t="inlineStr">
        <is>
          <t>L004</t>
        </is>
      </c>
      <c r="D1354" s="84" t="inlineStr">
        <is>
          <t>Z.GASES</t>
        </is>
      </c>
      <c r="E1354" s="80" t="inlineStr">
        <is>
          <t>BOTELLA DE GAS PROPANO X 45 KG.(ENVASE)</t>
        </is>
      </c>
      <c r="F1354" s="67" t="inlineStr">
        <is>
          <t>UN</t>
        </is>
      </c>
      <c r="G1354" s="84" t="n">
        <v>1</v>
      </c>
      <c r="H1354" s="84" t="inlineStr">
        <is>
          <t>LIMA GAS 2</t>
        </is>
      </c>
      <c r="I1354" s="139" t="n">
        <v>0</v>
      </c>
      <c r="J1354" s="140" t="n">
        <v>533.91</v>
      </c>
      <c r="K1354" s="86" t="inlineStr">
        <is>
          <t>PEN</t>
        </is>
      </c>
    </row>
    <row r="1355">
      <c r="A1355" s="84" t="n">
        <v>20000669</v>
      </c>
      <c r="B1355" s="84" t="inlineStr">
        <is>
          <t>TPSU</t>
        </is>
      </c>
      <c r="C1355" s="91" t="inlineStr">
        <is>
          <t>L004</t>
        </is>
      </c>
      <c r="D1355" s="84" t="inlineStr">
        <is>
          <t>Z.GASES</t>
        </is>
      </c>
      <c r="E1355" s="80" t="inlineStr">
        <is>
          <t>BOTELLA DE GAS PROPANO X 45 KG.(ENVASE)</t>
        </is>
      </c>
      <c r="F1355" s="67" t="inlineStr">
        <is>
          <t>UN</t>
        </is>
      </c>
      <c r="G1355" s="84" t="n">
        <v>1</v>
      </c>
      <c r="H1355" s="84" t="inlineStr">
        <is>
          <t>SL0006-911</t>
        </is>
      </c>
      <c r="I1355" s="139" t="n">
        <v>0</v>
      </c>
      <c r="J1355" s="140" t="n">
        <v>507.45</v>
      </c>
      <c r="K1355" s="86" t="inlineStr">
        <is>
          <t>PEN</t>
        </is>
      </c>
    </row>
    <row r="1356">
      <c r="A1356" s="84" t="n">
        <v>20000669</v>
      </c>
      <c r="B1356" s="84" t="inlineStr">
        <is>
          <t>TPSU</t>
        </is>
      </c>
      <c r="C1356" s="91" t="inlineStr">
        <is>
          <t>L004</t>
        </is>
      </c>
      <c r="D1356" s="84" t="inlineStr">
        <is>
          <t>Z.GASES</t>
        </is>
      </c>
      <c r="E1356" s="80" t="inlineStr">
        <is>
          <t>BOTELLA DE GAS PROPANO X 45 KG.(ENVASE)</t>
        </is>
      </c>
      <c r="F1356" s="67" t="inlineStr">
        <is>
          <t>UN</t>
        </is>
      </c>
      <c r="G1356" s="84" t="n">
        <v>2</v>
      </c>
      <c r="H1356" s="84" t="inlineStr">
        <is>
          <t>ZETA GAS 3</t>
        </is>
      </c>
      <c r="I1356" s="139" t="n">
        <v>0</v>
      </c>
      <c r="J1356" s="140" t="n">
        <v>1835.34</v>
      </c>
      <c r="K1356" s="86" t="inlineStr">
        <is>
          <t>PEN</t>
        </is>
      </c>
    </row>
    <row r="1357">
      <c r="A1357" s="84" t="n">
        <v>31010771</v>
      </c>
      <c r="B1357" s="67" t="inlineStr">
        <is>
          <t>TPSU</t>
        </is>
      </c>
      <c r="C1357" s="90" t="inlineStr">
        <is>
          <t>L001</t>
        </is>
      </c>
      <c r="D1357" s="84" t="inlineStr">
        <is>
          <t>Z.GASES</t>
        </is>
      </c>
      <c r="E1357" s="80" t="inlineStr">
        <is>
          <t>GAS GLP (15 KG)</t>
        </is>
      </c>
      <c r="F1357" s="67" t="inlineStr">
        <is>
          <t>LC</t>
        </is>
      </c>
      <c r="G1357" s="84" t="n">
        <v>16</v>
      </c>
      <c r="H1357" s="57" t="inlineStr"/>
      <c r="I1357" s="139" t="n">
        <v>1067.14</v>
      </c>
      <c r="J1357" s="140" t="n">
        <v>2.563333333333333</v>
      </c>
      <c r="K1357" s="86" t="inlineStr">
        <is>
          <t>PEN</t>
        </is>
      </c>
    </row>
    <row r="1358">
      <c r="A1358" s="84" t="n">
        <v>31010777</v>
      </c>
      <c r="B1358" s="67" t="inlineStr">
        <is>
          <t>TPSU</t>
        </is>
      </c>
      <c r="C1358" s="90" t="inlineStr">
        <is>
          <t>L001</t>
        </is>
      </c>
      <c r="D1358" s="84" t="inlineStr">
        <is>
          <t>Z.GASES</t>
        </is>
      </c>
      <c r="E1358" s="80" t="inlineStr">
        <is>
          <t>GAS PROPANO (45 KG)</t>
        </is>
      </c>
      <c r="F1358" s="67" t="inlineStr">
        <is>
          <t>LC</t>
        </is>
      </c>
      <c r="G1358" s="84" t="n">
        <v>15</v>
      </c>
      <c r="H1358" s="57" t="inlineStr"/>
      <c r="I1358" s="139" t="n">
        <v>2807.64</v>
      </c>
      <c r="J1358" s="140" t="n">
        <v>80.30111111111111</v>
      </c>
      <c r="K1358" s="86" t="inlineStr">
        <is>
          <t>PEN</t>
        </is>
      </c>
    </row>
    <row r="1359">
      <c r="A1359" s="84" t="n">
        <v>20000699</v>
      </c>
      <c r="B1359" s="84" t="inlineStr">
        <is>
          <t>TPSU</t>
        </is>
      </c>
      <c r="C1359" s="91" t="inlineStr">
        <is>
          <t>L001</t>
        </is>
      </c>
      <c r="D1359" s="84" t="inlineStr">
        <is>
          <t>Z.OXIGENO</t>
        </is>
      </c>
      <c r="E1359" s="80" t="inlineStr">
        <is>
          <t>BOTELLA OXIGENO X 10M3(ENVASE)</t>
        </is>
      </c>
      <c r="F1359" s="67" t="inlineStr">
        <is>
          <t>UN</t>
        </is>
      </c>
      <c r="G1359" s="84" t="n">
        <v>1</v>
      </c>
      <c r="H1359" s="84" t="inlineStr">
        <is>
          <t>LI101342</t>
        </is>
      </c>
      <c r="I1359" s="139" t="n">
        <v>0</v>
      </c>
      <c r="J1359" s="140" t="n">
        <v>45.38028571428571</v>
      </c>
      <c r="K1359" s="86" t="inlineStr">
        <is>
          <t>PEN</t>
        </is>
      </c>
    </row>
    <row r="1360">
      <c r="A1360" s="84" t="n">
        <v>20000699</v>
      </c>
      <c r="B1360" s="84" t="inlineStr">
        <is>
          <t>TPSU</t>
        </is>
      </c>
      <c r="C1360" s="91" t="inlineStr">
        <is>
          <t>L001</t>
        </is>
      </c>
      <c r="D1360" s="84" t="inlineStr">
        <is>
          <t>Z.OXIGENO</t>
        </is>
      </c>
      <c r="E1360" s="80" t="inlineStr">
        <is>
          <t>BOTELLA OXIGENO X 10M3(ENVASE)</t>
        </is>
      </c>
      <c r="F1360" s="67" t="inlineStr">
        <is>
          <t>UN</t>
        </is>
      </c>
      <c r="G1360" s="84" t="n">
        <v>1</v>
      </c>
      <c r="H1360" s="84" t="inlineStr">
        <is>
          <t>LI1355695</t>
        </is>
      </c>
      <c r="I1360" s="139" t="n">
        <v>0</v>
      </c>
      <c r="J1360" s="140" t="n">
        <v>1133.036666666667</v>
      </c>
      <c r="K1360" s="86" t="inlineStr">
        <is>
          <t>PEN</t>
        </is>
      </c>
    </row>
    <row r="1361">
      <c r="A1361" s="84" t="n">
        <v>20000699</v>
      </c>
      <c r="B1361" s="84" t="inlineStr">
        <is>
          <t>TPSU</t>
        </is>
      </c>
      <c r="C1361" s="91" t="inlineStr">
        <is>
          <t>L001</t>
        </is>
      </c>
      <c r="D1361" s="84" t="inlineStr">
        <is>
          <t>Z.OXIGENO</t>
        </is>
      </c>
      <c r="E1361" s="80" t="inlineStr">
        <is>
          <t>BOTELLA OXIGENO X 10M3(ENVASE)</t>
        </is>
      </c>
      <c r="F1361" s="67" t="inlineStr">
        <is>
          <t>UN</t>
        </is>
      </c>
      <c r="G1361" s="84" t="n">
        <v>1</v>
      </c>
      <c r="H1361" s="84" t="inlineStr">
        <is>
          <t>LI155145</t>
        </is>
      </c>
      <c r="I1361" s="139" t="n">
        <v>0</v>
      </c>
      <c r="J1361" s="140" t="n">
        <v>51.51333333333333</v>
      </c>
      <c r="K1361" s="86" t="inlineStr">
        <is>
          <t>PEN</t>
        </is>
      </c>
    </row>
    <row r="1362">
      <c r="A1362" s="84" t="n">
        <v>20000699</v>
      </c>
      <c r="B1362" s="84" t="inlineStr">
        <is>
          <t>TPSU</t>
        </is>
      </c>
      <c r="C1362" s="91" t="inlineStr">
        <is>
          <t>L001</t>
        </is>
      </c>
      <c r="D1362" s="84" t="inlineStr">
        <is>
          <t>Z.OXIGENO</t>
        </is>
      </c>
      <c r="E1362" s="80" t="inlineStr">
        <is>
          <t>BOTELLA OXIGENO X 10M3(ENVASE)</t>
        </is>
      </c>
      <c r="F1362" s="67" t="inlineStr">
        <is>
          <t>UN</t>
        </is>
      </c>
      <c r="G1362" s="84" t="n">
        <v>1</v>
      </c>
      <c r="H1362" s="84" t="inlineStr">
        <is>
          <t>LI156198</t>
        </is>
      </c>
      <c r="I1362" s="139" t="n">
        <v>0</v>
      </c>
      <c r="J1362" s="140" t="n">
        <v>499.8</v>
      </c>
      <c r="K1362" s="86" t="inlineStr">
        <is>
          <t>PEN</t>
        </is>
      </c>
    </row>
    <row r="1363">
      <c r="A1363" s="84" t="n">
        <v>20000699</v>
      </c>
      <c r="B1363" s="84" t="inlineStr">
        <is>
          <t>TPSU</t>
        </is>
      </c>
      <c r="C1363" s="91" t="inlineStr">
        <is>
          <t>L001</t>
        </is>
      </c>
      <c r="D1363" s="84" t="inlineStr">
        <is>
          <t>Z.OXIGENO</t>
        </is>
      </c>
      <c r="E1363" s="80" t="inlineStr">
        <is>
          <t>BOTELLA OXIGENO X 10M3(ENVASE)</t>
        </is>
      </c>
      <c r="F1363" s="67" t="inlineStr">
        <is>
          <t>UN</t>
        </is>
      </c>
      <c r="G1363" s="84" t="n">
        <v>1</v>
      </c>
      <c r="H1363" s="84" t="inlineStr">
        <is>
          <t>LI185795</t>
        </is>
      </c>
      <c r="I1363" s="139" t="n">
        <v>0</v>
      </c>
      <c r="J1363" s="140" t="n">
        <v>20.12</v>
      </c>
      <c r="K1363" s="86" t="inlineStr">
        <is>
          <t>PEN</t>
        </is>
      </c>
    </row>
    <row r="1364">
      <c r="A1364" s="84" t="n">
        <v>20000699</v>
      </c>
      <c r="B1364" s="84" t="inlineStr">
        <is>
          <t>TPSU</t>
        </is>
      </c>
      <c r="C1364" s="91" t="inlineStr">
        <is>
          <t>L001</t>
        </is>
      </c>
      <c r="D1364" s="84" t="inlineStr">
        <is>
          <t>Z.OXIGENO</t>
        </is>
      </c>
      <c r="E1364" s="80" t="inlineStr">
        <is>
          <t>BOTELLA OXIGENO X 10M3(ENVASE)</t>
        </is>
      </c>
      <c r="F1364" s="67" t="inlineStr">
        <is>
          <t>UN</t>
        </is>
      </c>
      <c r="G1364" s="84" t="n">
        <v>1</v>
      </c>
      <c r="H1364" s="84" t="inlineStr">
        <is>
          <t>LI31144</t>
        </is>
      </c>
      <c r="I1364" s="139" t="n">
        <v>0</v>
      </c>
      <c r="J1364" s="140" t="n">
        <v>61.75416666666666</v>
      </c>
      <c r="K1364" s="86" t="inlineStr">
        <is>
          <t>PEN</t>
        </is>
      </c>
    </row>
    <row r="1365">
      <c r="A1365" s="84" t="n">
        <v>20000699</v>
      </c>
      <c r="B1365" s="84" t="inlineStr">
        <is>
          <t>TPSU</t>
        </is>
      </c>
      <c r="C1365" s="91" t="inlineStr">
        <is>
          <t>L001</t>
        </is>
      </c>
      <c r="D1365" s="84" t="inlineStr">
        <is>
          <t>Z.OXIGENO</t>
        </is>
      </c>
      <c r="E1365" s="80" t="inlineStr">
        <is>
          <t>BOTELLA OXIGENO X 10M3(ENVASE)</t>
        </is>
      </c>
      <c r="F1365" s="67" t="inlineStr">
        <is>
          <t>UN</t>
        </is>
      </c>
      <c r="G1365" s="84" t="n">
        <v>1</v>
      </c>
      <c r="H1365" s="84" t="inlineStr">
        <is>
          <t>LI4674903</t>
        </is>
      </c>
      <c r="I1365" s="139" t="n">
        <v>0</v>
      </c>
      <c r="J1365" s="140" t="n">
        <v>20.07625</v>
      </c>
      <c r="K1365" s="86" t="inlineStr">
        <is>
          <t>PEN</t>
        </is>
      </c>
    </row>
    <row r="1366">
      <c r="A1366" s="84" t="n">
        <v>20000699</v>
      </c>
      <c r="B1366" s="84" t="inlineStr">
        <is>
          <t>TPSU</t>
        </is>
      </c>
      <c r="C1366" s="91" t="inlineStr">
        <is>
          <t>L001</t>
        </is>
      </c>
      <c r="D1366" s="84" t="inlineStr">
        <is>
          <t>Z.OXIGENO</t>
        </is>
      </c>
      <c r="E1366" s="80" t="inlineStr">
        <is>
          <t>BOTELLA OXIGENO X 10M3(ENVASE)</t>
        </is>
      </c>
      <c r="F1366" s="67" t="inlineStr">
        <is>
          <t>UN</t>
        </is>
      </c>
      <c r="G1366" s="84" t="n">
        <v>1</v>
      </c>
      <c r="H1366" s="84" t="inlineStr">
        <is>
          <t>LI674815</t>
        </is>
      </c>
      <c r="I1366" s="139" t="n">
        <v>0</v>
      </c>
      <c r="J1366" s="140" t="n">
        <v>33.41</v>
      </c>
      <c r="K1366" s="86" t="inlineStr">
        <is>
          <t>PEN</t>
        </is>
      </c>
    </row>
    <row r="1367">
      <c r="A1367" s="84" t="n">
        <v>20000699</v>
      </c>
      <c r="B1367" s="84" t="inlineStr">
        <is>
          <t>TPSU</t>
        </is>
      </c>
      <c r="C1367" s="91" t="inlineStr">
        <is>
          <t>L001</t>
        </is>
      </c>
      <c r="D1367" s="84" t="inlineStr">
        <is>
          <t>Z.OXIGENO</t>
        </is>
      </c>
      <c r="E1367" s="80" t="inlineStr">
        <is>
          <t>BOTELLA OXIGENO X 10M3(ENVASE)</t>
        </is>
      </c>
      <c r="F1367" s="67" t="inlineStr">
        <is>
          <t>UN</t>
        </is>
      </c>
      <c r="G1367" s="84" t="n">
        <v>1</v>
      </c>
      <c r="H1367" s="84" t="inlineStr">
        <is>
          <t>LI754038</t>
        </is>
      </c>
      <c r="I1367" s="139" t="n">
        <v>0</v>
      </c>
      <c r="J1367" s="140" t="n">
        <v>15.1488</v>
      </c>
      <c r="K1367" s="86" t="inlineStr">
        <is>
          <t>PEN</t>
        </is>
      </c>
    </row>
    <row r="1368">
      <c r="A1368" s="84" t="n">
        <v>20000699</v>
      </c>
      <c r="B1368" s="84" t="inlineStr">
        <is>
          <t>TPSU</t>
        </is>
      </c>
      <c r="C1368" s="91" t="inlineStr">
        <is>
          <t>L001</t>
        </is>
      </c>
      <c r="D1368" s="84" t="inlineStr">
        <is>
          <t>Z.OXIGENO</t>
        </is>
      </c>
      <c r="E1368" s="80" t="inlineStr">
        <is>
          <t>BOTELLA OXIGENO X 10M3(ENVASE)</t>
        </is>
      </c>
      <c r="F1368" s="67" t="inlineStr">
        <is>
          <t>UN</t>
        </is>
      </c>
      <c r="G1368" s="84" t="n">
        <v>1</v>
      </c>
      <c r="H1368" s="84" t="inlineStr">
        <is>
          <t>LI8819</t>
        </is>
      </c>
      <c r="I1368" s="139" t="n">
        <v>0</v>
      </c>
      <c r="J1368" s="140" t="n">
        <v>158.655</v>
      </c>
      <c r="K1368" s="86" t="inlineStr">
        <is>
          <t>PEN</t>
        </is>
      </c>
    </row>
    <row r="1369">
      <c r="A1369" s="84" t="n">
        <v>20000699</v>
      </c>
      <c r="B1369" s="84" t="inlineStr">
        <is>
          <t>TPSU</t>
        </is>
      </c>
      <c r="C1369" s="91" t="inlineStr">
        <is>
          <t>L004</t>
        </is>
      </c>
      <c r="D1369" s="84" t="inlineStr">
        <is>
          <t>Z.OXIGENO</t>
        </is>
      </c>
      <c r="E1369" s="80" t="inlineStr">
        <is>
          <t>BOTELLA OXIGENO X 10M3(ENVASE)</t>
        </is>
      </c>
      <c r="F1369" s="67" t="inlineStr">
        <is>
          <t>UN</t>
        </is>
      </c>
      <c r="G1369" s="84" t="n">
        <v>1</v>
      </c>
      <c r="H1369" s="84" t="inlineStr">
        <is>
          <t>LI185685</t>
        </is>
      </c>
      <c r="I1369" s="139" t="n">
        <v>0</v>
      </c>
      <c r="J1369" s="140" t="n">
        <v>4255.92</v>
      </c>
      <c r="K1369" s="86" t="inlineStr">
        <is>
          <t>PEN</t>
        </is>
      </c>
    </row>
    <row r="1370">
      <c r="A1370" s="84" t="n">
        <v>31003986</v>
      </c>
      <c r="B1370" s="67" t="inlineStr">
        <is>
          <t>TPSU</t>
        </is>
      </c>
      <c r="C1370" s="90" t="inlineStr">
        <is>
          <t>L001</t>
        </is>
      </c>
      <c r="D1370" s="84" t="inlineStr">
        <is>
          <t>Z.OXIGENO</t>
        </is>
      </c>
      <c r="E1370" s="80" t="inlineStr">
        <is>
          <t>OXIGENO INDUSTRIAL</t>
        </is>
      </c>
      <c r="F1370" s="67" t="inlineStr">
        <is>
          <t>M3</t>
        </is>
      </c>
      <c r="G1370" s="84" t="n">
        <v>100</v>
      </c>
      <c r="H1370" s="57" t="inlineStr"/>
      <c r="I1370" s="139" t="n">
        <v>880</v>
      </c>
      <c r="J1370" s="140" t="n">
        <v>31.93</v>
      </c>
      <c r="K1370" s="86" t="inlineStr">
        <is>
          <t>PEN</t>
        </is>
      </c>
    </row>
    <row r="1371">
      <c r="A1371" s="84" t="n">
        <v>31008303</v>
      </c>
      <c r="B1371" s="67" t="inlineStr">
        <is>
          <t>TPSU</t>
        </is>
      </c>
      <c r="C1371" s="90" t="inlineStr">
        <is>
          <t>L001</t>
        </is>
      </c>
      <c r="D1371" s="84" t="inlineStr">
        <is>
          <t>Z.TRANSTO</t>
        </is>
      </c>
      <c r="E1371" s="80" t="inlineStr">
        <is>
          <t>AISLADOR ANTENA MORAD M-9</t>
        </is>
      </c>
      <c r="F1371" s="67" t="inlineStr">
        <is>
          <t>JGO</t>
        </is>
      </c>
      <c r="G1371" s="84" t="n">
        <v>2</v>
      </c>
      <c r="H1371" s="57" t="inlineStr"/>
      <c r="I1371" s="139" t="n">
        <v>611.3</v>
      </c>
      <c r="J1371" s="140" t="n">
        <v>28.16</v>
      </c>
      <c r="K1371" s="86" t="inlineStr">
        <is>
          <t>PEN</t>
        </is>
      </c>
    </row>
    <row r="1372">
      <c r="A1372" s="84" t="n">
        <v>31026318</v>
      </c>
      <c r="B1372" s="67" t="inlineStr">
        <is>
          <t>TPSU</t>
        </is>
      </c>
      <c r="C1372" s="90" t="inlineStr">
        <is>
          <t>L001</t>
        </is>
      </c>
      <c r="D1372" s="84" t="inlineStr">
        <is>
          <t>ZONA FERIX</t>
        </is>
      </c>
      <c r="E1372" s="80" t="inlineStr">
        <is>
          <t>ANGULO 2.1/2" X 2.1/2" X 1/4" X6MT FE.NE</t>
        </is>
      </c>
      <c r="F1372" s="67" t="inlineStr">
        <is>
          <t>UN</t>
        </is>
      </c>
      <c r="G1372" s="84" t="n">
        <v>8</v>
      </c>
      <c r="H1372" s="57" t="inlineStr"/>
      <c r="I1372" s="139" t="n">
        <v>118.64</v>
      </c>
      <c r="J1372" s="140" t="n">
        <v>0.3985</v>
      </c>
      <c r="K1372" s="86" t="inlineStr">
        <is>
          <t>PEN</t>
        </is>
      </c>
    </row>
    <row r="1373">
      <c r="A1373" s="84" t="n">
        <v>31008434</v>
      </c>
      <c r="B1373" s="67" t="inlineStr">
        <is>
          <t>TPSU</t>
        </is>
      </c>
      <c r="C1373" s="90" t="inlineStr">
        <is>
          <t>L001</t>
        </is>
      </c>
      <c r="D1373" s="84" t="inlineStr">
        <is>
          <t>ZONA FERIX</t>
        </is>
      </c>
      <c r="E1373" s="80" t="inlineStr">
        <is>
          <t>ANGULO 2'' X 2''X 1/4'' X 6M FEN.</t>
        </is>
      </c>
      <c r="F1373" s="67" t="inlineStr">
        <is>
          <t>M</t>
        </is>
      </c>
      <c r="G1373" s="84" t="n">
        <v>1</v>
      </c>
      <c r="H1373" s="57" t="inlineStr"/>
      <c r="I1373" s="139" t="n">
        <v>75.3</v>
      </c>
      <c r="J1373" s="140" t="n">
        <v>0.3986</v>
      </c>
      <c r="K1373" s="86" t="inlineStr">
        <is>
          <t>PEN</t>
        </is>
      </c>
    </row>
    <row r="1374">
      <c r="A1374" s="84" t="n">
        <v>33030734</v>
      </c>
      <c r="B1374" s="67" t="inlineStr">
        <is>
          <t>TPSU</t>
        </is>
      </c>
      <c r="C1374" s="90" t="inlineStr">
        <is>
          <t>L001</t>
        </is>
      </c>
      <c r="D1374" s="84" t="inlineStr">
        <is>
          <t>ZONA FERIX</t>
        </is>
      </c>
      <c r="E1374" s="80" t="inlineStr">
        <is>
          <t>CADENA DOBLE 1.3/4" ASA 140-2</t>
        </is>
      </c>
      <c r="F1374" s="67" t="inlineStr">
        <is>
          <t>M</t>
        </is>
      </c>
      <c r="G1374" s="84" t="n">
        <v>6.28</v>
      </c>
      <c r="H1374" s="57" t="inlineStr"/>
      <c r="I1374" s="139" t="n">
        <v>1596.12</v>
      </c>
      <c r="J1374" s="140" t="n">
        <v>30.32</v>
      </c>
      <c r="K1374" s="86" t="inlineStr">
        <is>
          <t>PEN</t>
        </is>
      </c>
    </row>
    <row r="1375">
      <c r="A1375" s="84" t="n">
        <v>10200021</v>
      </c>
      <c r="B1375" s="67" t="inlineStr">
        <is>
          <t>TPSU</t>
        </is>
      </c>
      <c r="C1375" s="90" t="inlineStr">
        <is>
          <t>L001</t>
        </is>
      </c>
      <c r="D1375" s="84" t="inlineStr">
        <is>
          <t>ZONA FERIX</t>
        </is>
      </c>
      <c r="E1375" s="80" t="inlineStr">
        <is>
          <t>COAGULANTE FERIX - 3</t>
        </is>
      </c>
      <c r="F1375" s="67" t="inlineStr">
        <is>
          <t>KG</t>
        </is>
      </c>
      <c r="G1375" s="84" t="n">
        <v>30000</v>
      </c>
      <c r="H1375" s="57" t="inlineStr">
        <is>
          <t>100</t>
        </is>
      </c>
      <c r="I1375" s="139" t="n">
        <v>109760.39</v>
      </c>
      <c r="J1375" s="140" t="n">
        <v>69.38500000000001</v>
      </c>
      <c r="K1375" s="86" t="inlineStr">
        <is>
          <t>PEN</t>
        </is>
      </c>
    </row>
    <row r="1376">
      <c r="A1376" s="84" t="n">
        <v>10200021</v>
      </c>
      <c r="B1376" s="67" t="inlineStr">
        <is>
          <t>TPSU</t>
        </is>
      </c>
      <c r="C1376" s="90" t="inlineStr">
        <is>
          <t>L001</t>
        </is>
      </c>
      <c r="D1376" s="84" t="inlineStr">
        <is>
          <t>ZONA FERIX</t>
        </is>
      </c>
      <c r="E1376" s="80" t="inlineStr">
        <is>
          <t>COAGULANTE FERIX - 3</t>
        </is>
      </c>
      <c r="F1376" s="67" t="inlineStr">
        <is>
          <t>KG</t>
        </is>
      </c>
      <c r="G1376" s="84" t="n">
        <v>29000</v>
      </c>
      <c r="H1376" s="57" t="inlineStr">
        <is>
          <t>LOTE100</t>
        </is>
      </c>
      <c r="I1376" s="139" t="n">
        <v>106101.71</v>
      </c>
      <c r="J1376" s="140" t="n">
        <v>69.39</v>
      </c>
      <c r="K1376" s="86" t="inlineStr">
        <is>
          <t>PEN</t>
        </is>
      </c>
    </row>
    <row r="1377">
      <c r="A1377" s="84" t="n">
        <v>10200021</v>
      </c>
      <c r="B1377" s="67" t="inlineStr">
        <is>
          <t>TPSU</t>
        </is>
      </c>
      <c r="C1377" s="90" t="inlineStr">
        <is>
          <t>L001</t>
        </is>
      </c>
      <c r="D1377" s="84" t="inlineStr">
        <is>
          <t>ZONA FERIX</t>
        </is>
      </c>
      <c r="E1377" s="80" t="inlineStr">
        <is>
          <t>COAGULANTE FERIX - 3</t>
        </is>
      </c>
      <c r="F1377" s="67" t="inlineStr">
        <is>
          <t>KG</t>
        </is>
      </c>
      <c r="G1377" s="84" t="n">
        <v>30000</v>
      </c>
      <c r="H1377" s="57" t="inlineStr">
        <is>
          <t>LOTE114</t>
        </is>
      </c>
      <c r="I1377" s="139" t="n">
        <v>109760.39</v>
      </c>
      <c r="J1377" s="140" t="n">
        <v>16.46</v>
      </c>
      <c r="K1377" s="86" t="inlineStr">
        <is>
          <t>PEN</t>
        </is>
      </c>
    </row>
    <row r="1378">
      <c r="A1378" s="84" t="n">
        <v>10200021</v>
      </c>
      <c r="B1378" s="84" t="inlineStr">
        <is>
          <t>TPSU</t>
        </is>
      </c>
      <c r="C1378" s="91" t="inlineStr">
        <is>
          <t>L001</t>
        </is>
      </c>
      <c r="D1378" s="84" t="inlineStr">
        <is>
          <t>ZONA FERIX</t>
        </is>
      </c>
      <c r="E1378" s="80" t="inlineStr">
        <is>
          <t>COAGULANTE FERIX - 3</t>
        </is>
      </c>
      <c r="F1378" s="67" t="inlineStr">
        <is>
          <t>KG</t>
        </is>
      </c>
      <c r="G1378" s="84" t="n">
        <v>0</v>
      </c>
      <c r="H1378" s="84" t="inlineStr">
        <is>
          <t>LOTE115</t>
        </is>
      </c>
      <c r="I1378" s="139" t="n">
        <v>0</v>
      </c>
      <c r="J1378" s="140" t="n">
        <v>79.59999999999999</v>
      </c>
      <c r="K1378" s="86" t="inlineStr">
        <is>
          <t>PEN</t>
        </is>
      </c>
    </row>
    <row r="1379">
      <c r="A1379" s="84" t="n">
        <v>31011524</v>
      </c>
      <c r="B1379" s="67" t="inlineStr">
        <is>
          <t>TPSU</t>
        </is>
      </c>
      <c r="C1379" s="90" t="inlineStr">
        <is>
          <t>L001</t>
        </is>
      </c>
      <c r="D1379" s="84" t="inlineStr">
        <is>
          <t>ZONA FERIX</t>
        </is>
      </c>
      <c r="E1379" s="80" t="inlineStr">
        <is>
          <t>MALLA 1/2"X1/2" ALAM. NO.12 1940MM GALV.</t>
        </is>
      </c>
      <c r="F1379" s="67" t="inlineStr">
        <is>
          <t>M</t>
        </is>
      </c>
      <c r="G1379" s="84" t="n">
        <v>30</v>
      </c>
      <c r="H1379" s="57" t="inlineStr"/>
      <c r="I1379" s="139" t="n">
        <v>11730.6</v>
      </c>
      <c r="J1379" s="140" t="n">
        <v>11.17</v>
      </c>
      <c r="K1379" s="86" t="inlineStr">
        <is>
          <t>PEN</t>
        </is>
      </c>
    </row>
    <row r="1380">
      <c r="A1380" s="84" t="n">
        <v>33035875</v>
      </c>
      <c r="B1380" s="67" t="inlineStr">
        <is>
          <t>TPSU</t>
        </is>
      </c>
      <c r="C1380" s="90" t="inlineStr">
        <is>
          <t>L004</t>
        </is>
      </c>
      <c r="D1380" s="84" t="inlineStr">
        <is>
          <t>ZONA FERIX</t>
        </is>
      </c>
      <c r="E1380" s="80" t="inlineStr">
        <is>
          <t>PIÑON SIMPLE 1.1/2" 28T SAE1045 ASA120</t>
        </is>
      </c>
      <c r="F1380" s="67" t="inlineStr">
        <is>
          <t>UN</t>
        </is>
      </c>
      <c r="G1380" s="84" t="n">
        <v>1</v>
      </c>
      <c r="H1380" s="57" t="inlineStr"/>
      <c r="I1380" s="139" t="n">
        <v>406.32</v>
      </c>
      <c r="J1380" s="140" t="n">
        <v>23.295</v>
      </c>
      <c r="K1380" s="86" t="inlineStr">
        <is>
          <t>PEN</t>
        </is>
      </c>
    </row>
    <row r="1381">
      <c r="A1381" s="84" t="n">
        <v>33035882</v>
      </c>
      <c r="B1381" s="67" t="inlineStr">
        <is>
          <t>TPSU</t>
        </is>
      </c>
      <c r="C1381" s="90" t="inlineStr">
        <is>
          <t>L004</t>
        </is>
      </c>
      <c r="D1381" s="84" t="inlineStr">
        <is>
          <t>ZONA FERIX</t>
        </is>
      </c>
      <c r="E1381" s="80" t="inlineStr">
        <is>
          <t>PIÑON SIMPLE 1.1/2" 36T SAE1045 ASA120</t>
        </is>
      </c>
      <c r="F1381" s="67" t="inlineStr">
        <is>
          <t>UN</t>
        </is>
      </c>
      <c r="G1381" s="84" t="n">
        <v>1</v>
      </c>
      <c r="H1381" s="57" t="inlineStr"/>
      <c r="I1381" s="139" t="n">
        <v>559.9299999999999</v>
      </c>
      <c r="J1381" s="140" t="n">
        <v>23.295</v>
      </c>
      <c r="K1381" s="86" t="inlineStr">
        <is>
          <t>PEN</t>
        </is>
      </c>
    </row>
    <row r="1382">
      <c r="A1382" s="84" t="n">
        <v>33042186</v>
      </c>
      <c r="B1382" s="67" t="inlineStr">
        <is>
          <t>TPSU</t>
        </is>
      </c>
      <c r="C1382" s="90" t="inlineStr">
        <is>
          <t>L001</t>
        </is>
      </c>
      <c r="D1382" s="84" t="inlineStr">
        <is>
          <t>ZONA FERIX</t>
        </is>
      </c>
      <c r="E1382" s="80" t="inlineStr">
        <is>
          <t>PIÑON SIMPLE 1.1/2" 57T SAE1045 ASA120-1</t>
        </is>
      </c>
      <c r="F1382" s="67" t="inlineStr">
        <is>
          <t>UN</t>
        </is>
      </c>
      <c r="G1382" s="84" t="n">
        <v>1</v>
      </c>
      <c r="H1382" s="57" t="inlineStr"/>
      <c r="I1382" s="139" t="n">
        <v>1094.33</v>
      </c>
      <c r="J1382" s="140" t="n">
        <v>233.21</v>
      </c>
      <c r="K1382" s="86" t="inlineStr">
        <is>
          <t>PEN</t>
        </is>
      </c>
    </row>
    <row r="1383">
      <c r="A1383" s="84" t="n">
        <v>33042186</v>
      </c>
      <c r="B1383" s="67" t="inlineStr">
        <is>
          <t>TPSU</t>
        </is>
      </c>
      <c r="C1383" s="90" t="inlineStr">
        <is>
          <t>L004</t>
        </is>
      </c>
      <c r="D1383" s="84" t="inlineStr">
        <is>
          <t>ZONA FERIX</t>
        </is>
      </c>
      <c r="E1383" s="80" t="inlineStr">
        <is>
          <t>PIÑON SIMPLE 1.1/2" 57T SAE1045 ASA120-1</t>
        </is>
      </c>
      <c r="F1383" s="67" t="inlineStr">
        <is>
          <t>UN</t>
        </is>
      </c>
      <c r="G1383" s="84" t="n">
        <v>1</v>
      </c>
      <c r="H1383" s="57" t="inlineStr"/>
      <c r="I1383" s="139" t="n">
        <v>1094.33</v>
      </c>
      <c r="J1383" s="140" t="n">
        <v>233.21</v>
      </c>
      <c r="K1383" s="86" t="inlineStr">
        <is>
          <t>PEN</t>
        </is>
      </c>
    </row>
    <row r="1384">
      <c r="A1384" s="84" t="n">
        <v>31015501</v>
      </c>
      <c r="B1384" s="67" t="inlineStr">
        <is>
          <t>TPSU</t>
        </is>
      </c>
      <c r="C1384" s="90" t="inlineStr">
        <is>
          <t>L001</t>
        </is>
      </c>
      <c r="D1384" s="84" t="inlineStr">
        <is>
          <t>ZONA FERIX</t>
        </is>
      </c>
      <c r="E1384" s="80" t="inlineStr">
        <is>
          <t>PLANCHA 1/8'' X 4' X 8' FEN.</t>
        </is>
      </c>
      <c r="F1384" s="67" t="inlineStr">
        <is>
          <t>UN</t>
        </is>
      </c>
      <c r="G1384" s="84" t="n">
        <v>14</v>
      </c>
      <c r="H1384" s="57" t="inlineStr"/>
      <c r="I1384" s="139" t="n">
        <v>2241.44</v>
      </c>
      <c r="J1384" s="140" t="n">
        <v>159.95</v>
      </c>
      <c r="K1384" s="86" t="inlineStr">
        <is>
          <t>PEN</t>
        </is>
      </c>
    </row>
    <row r="1385">
      <c r="A1385" s="84" t="n">
        <v>31013268</v>
      </c>
      <c r="B1385" s="67" t="inlineStr">
        <is>
          <t>TPSU</t>
        </is>
      </c>
      <c r="C1385" s="90" t="inlineStr">
        <is>
          <t>L001</t>
        </is>
      </c>
      <c r="D1385" s="84" t="inlineStr">
        <is>
          <t>ZONA FERIX</t>
        </is>
      </c>
      <c r="E1385" s="80" t="inlineStr">
        <is>
          <t>PLANCHA 19.00X1200X2400MM AC. ESTRUCT.</t>
        </is>
      </c>
      <c r="F1385" s="67" t="inlineStr">
        <is>
          <t>UN</t>
        </is>
      </c>
      <c r="G1385" s="84" t="n">
        <v>1</v>
      </c>
      <c r="H1385" s="57" t="inlineStr">
        <is>
          <t>NUEVO</t>
        </is>
      </c>
      <c r="I1385" s="139" t="n">
        <v>1017.33</v>
      </c>
      <c r="J1385" s="140" t="n">
        <v>21.13666666666667</v>
      </c>
      <c r="K1385" s="86" t="inlineStr">
        <is>
          <t>PEN</t>
        </is>
      </c>
    </row>
    <row r="1386">
      <c r="A1386" s="84" t="n">
        <v>31013270</v>
      </c>
      <c r="B1386" s="67" t="inlineStr">
        <is>
          <t>TPSU</t>
        </is>
      </c>
      <c r="C1386" s="90" t="inlineStr">
        <is>
          <t>L001</t>
        </is>
      </c>
      <c r="D1386" s="84" t="inlineStr">
        <is>
          <t>ZONA FERIX</t>
        </is>
      </c>
      <c r="E1386" s="80" t="inlineStr">
        <is>
          <t>PLANCHA 2.50X1200X2400MM AC. INOX.304</t>
        </is>
      </c>
      <c r="F1386" s="67" t="inlineStr">
        <is>
          <t>UN</t>
        </is>
      </c>
      <c r="G1386" s="84" t="n">
        <v>1</v>
      </c>
      <c r="H1386" s="57" t="inlineStr"/>
      <c r="I1386" s="139" t="n">
        <v>533.91</v>
      </c>
      <c r="J1386" s="140" t="n">
        <v>93.39</v>
      </c>
      <c r="K1386" s="86" t="inlineStr">
        <is>
          <t>PEN</t>
        </is>
      </c>
    </row>
    <row r="1387">
      <c r="A1387" s="84" t="n">
        <v>31013305</v>
      </c>
      <c r="B1387" s="67" t="inlineStr">
        <is>
          <t>TPSU</t>
        </is>
      </c>
      <c r="C1387" s="90" t="inlineStr">
        <is>
          <t>L004</t>
        </is>
      </c>
      <c r="D1387" s="84" t="inlineStr">
        <is>
          <t>ZONA FERIX</t>
        </is>
      </c>
      <c r="E1387" s="80" t="inlineStr">
        <is>
          <t>PLANCHA 9.00X1200X2400MM AC. ESTRUCT.</t>
        </is>
      </c>
      <c r="F1387" s="67" t="inlineStr">
        <is>
          <t>UN</t>
        </is>
      </c>
      <c r="G1387" s="84" t="n">
        <v>2</v>
      </c>
      <c r="H1387" s="57" t="inlineStr"/>
      <c r="I1387" s="139" t="n">
        <v>1014.9</v>
      </c>
      <c r="J1387" s="140" t="n">
        <v>22.98083333333333</v>
      </c>
      <c r="K1387" s="86" t="inlineStr">
        <is>
          <t>PEN</t>
        </is>
      </c>
    </row>
    <row r="1388">
      <c r="A1388" s="84" t="n">
        <v>31015280</v>
      </c>
      <c r="B1388" s="67" t="inlineStr">
        <is>
          <t>TPSU</t>
        </is>
      </c>
      <c r="C1388" s="90" t="inlineStr">
        <is>
          <t>L004</t>
        </is>
      </c>
      <c r="D1388" s="84" t="inlineStr">
        <is>
          <t>ZONA FERIX</t>
        </is>
      </c>
      <c r="E1388" s="80" t="inlineStr">
        <is>
          <t>PLANCHA 9.00X1200X2400MM AC. INOX. 304</t>
        </is>
      </c>
      <c r="F1388" s="67" t="inlineStr">
        <is>
          <t>UN</t>
        </is>
      </c>
      <c r="G1388" s="84" t="n">
        <v>1</v>
      </c>
      <c r="H1388" s="57" t="inlineStr"/>
      <c r="I1388" s="139" t="n">
        <v>1835.34</v>
      </c>
      <c r="J1388" s="140" t="n">
        <v>56.2875</v>
      </c>
      <c r="K1388" s="86" t="inlineStr">
        <is>
          <t>PEN</t>
        </is>
      </c>
    </row>
    <row r="1389">
      <c r="A1389" s="84" t="n">
        <v>31013394</v>
      </c>
      <c r="B1389" s="67" t="inlineStr">
        <is>
          <t>TPSU</t>
        </is>
      </c>
      <c r="C1389" s="90" t="inlineStr">
        <is>
          <t>L001</t>
        </is>
      </c>
      <c r="D1389" s="84" t="inlineStr">
        <is>
          <t>ZONA FERIX</t>
        </is>
      </c>
      <c r="E1389" s="80" t="inlineStr">
        <is>
          <t>PLATINA 1/8" X 1.1/2" FE.</t>
        </is>
      </c>
      <c r="F1389" s="67" t="inlineStr">
        <is>
          <t>M</t>
        </is>
      </c>
      <c r="G1389" s="84" t="n">
        <v>6</v>
      </c>
      <c r="H1389" s="57" t="inlineStr"/>
      <c r="I1389" s="139" t="n">
        <v>15.38</v>
      </c>
      <c r="J1389" s="140" t="n">
        <v>19.0375</v>
      </c>
      <c r="K1389" s="86" t="inlineStr">
        <is>
          <t>PEN</t>
        </is>
      </c>
    </row>
    <row r="1390">
      <c r="A1390" s="84" t="n">
        <v>31013409</v>
      </c>
      <c r="B1390" s="67" t="inlineStr">
        <is>
          <t>TPSU</t>
        </is>
      </c>
      <c r="C1390" s="90" t="inlineStr">
        <is>
          <t>L001</t>
        </is>
      </c>
      <c r="D1390" s="84" t="inlineStr">
        <is>
          <t>ZONA FERIX</t>
        </is>
      </c>
      <c r="E1390" s="80" t="inlineStr">
        <is>
          <t>PLATINA 3/16"X4"X20' FEN.</t>
        </is>
      </c>
      <c r="F1390" s="67" t="inlineStr">
        <is>
          <t>UN</t>
        </is>
      </c>
      <c r="G1390" s="84" t="n">
        <v>36</v>
      </c>
      <c r="H1390" s="57" t="inlineStr">
        <is>
          <t>NUEVO</t>
        </is>
      </c>
      <c r="I1390" s="139" t="n">
        <v>2890.84</v>
      </c>
      <c r="J1390" s="140" t="n">
        <v>51.30666666666666</v>
      </c>
      <c r="K1390" s="86" t="inlineStr">
        <is>
          <t>PEN</t>
        </is>
      </c>
    </row>
    <row r="1391">
      <c r="A1391" s="84" t="n">
        <v>31014419</v>
      </c>
      <c r="B1391" s="67" t="inlineStr">
        <is>
          <t>TPSU</t>
        </is>
      </c>
      <c r="C1391" s="90" t="inlineStr">
        <is>
          <t>L001</t>
        </is>
      </c>
      <c r="D1391" s="84" t="inlineStr">
        <is>
          <t>ZONA FERIX</t>
        </is>
      </c>
      <c r="E1391" s="80" t="inlineStr">
        <is>
          <t>TUBO 1" X 6.40 MT GALV.</t>
        </is>
      </c>
      <c r="F1391" s="67" t="inlineStr">
        <is>
          <t>UN</t>
        </is>
      </c>
      <c r="G1391" s="84" t="n">
        <v>35</v>
      </c>
      <c r="H1391" s="57" t="inlineStr"/>
      <c r="I1391" s="139" t="n">
        <v>1588.31</v>
      </c>
      <c r="J1391" s="140" t="n">
        <v>35.43333333333333</v>
      </c>
      <c r="K1391" s="86" t="inlineStr">
        <is>
          <t>PEN</t>
        </is>
      </c>
    </row>
    <row r="1392">
      <c r="A1392" s="84" t="n">
        <v>31026493</v>
      </c>
      <c r="B1392" s="67" t="inlineStr">
        <is>
          <t>TPSU</t>
        </is>
      </c>
      <c r="C1392" s="90" t="inlineStr">
        <is>
          <t>L004</t>
        </is>
      </c>
      <c r="D1392" s="84" t="inlineStr">
        <is>
          <t>ZONA FERIX</t>
        </is>
      </c>
      <c r="E1392" s="80" t="inlineStr">
        <is>
          <t>TUBO 16'' INOX.304 SCH10</t>
        </is>
      </c>
      <c r="F1392" s="67" t="inlineStr">
        <is>
          <t>M</t>
        </is>
      </c>
      <c r="G1392" s="84" t="n">
        <v>12</v>
      </c>
      <c r="H1392" s="57" t="inlineStr"/>
      <c r="I1392" s="139" t="n">
        <v>13596.44</v>
      </c>
      <c r="J1392" s="140" t="n">
        <v>20.66</v>
      </c>
      <c r="K1392" s="86" t="inlineStr">
        <is>
          <t>PEN</t>
        </is>
      </c>
    </row>
    <row r="1393">
      <c r="A1393" s="84" t="n">
        <v>31014512</v>
      </c>
      <c r="B1393" s="67" t="inlineStr">
        <is>
          <t>TPSU</t>
        </is>
      </c>
      <c r="C1393" s="90" t="inlineStr">
        <is>
          <t>L001</t>
        </is>
      </c>
      <c r="D1393" s="84" t="inlineStr">
        <is>
          <t>ZONA FERIX</t>
        </is>
      </c>
      <c r="E1393" s="80" t="inlineStr">
        <is>
          <t>TUBO 2.1/2" SCH40</t>
        </is>
      </c>
      <c r="F1393" s="67" t="inlineStr">
        <is>
          <t>M</t>
        </is>
      </c>
      <c r="G1393" s="84" t="n">
        <v>6</v>
      </c>
      <c r="H1393" s="57" t="inlineStr"/>
      <c r="I1393" s="139" t="n">
        <v>309.08</v>
      </c>
      <c r="J1393" s="140" t="n">
        <v>20.66</v>
      </c>
      <c r="K1393" s="86" t="inlineStr">
        <is>
          <t>PEN</t>
        </is>
      </c>
    </row>
    <row r="1394">
      <c r="A1394" s="84" t="n">
        <v>31014502</v>
      </c>
      <c r="B1394" s="67" t="inlineStr">
        <is>
          <t>TPSU</t>
        </is>
      </c>
      <c r="C1394" s="90" t="inlineStr">
        <is>
          <t>L001</t>
        </is>
      </c>
      <c r="D1394" s="84" t="inlineStr">
        <is>
          <t>ZONA FERIX</t>
        </is>
      </c>
      <c r="E1394" s="80" t="inlineStr">
        <is>
          <t>TUBO 2" X 6MT SCH40 GALV.</t>
        </is>
      </c>
      <c r="F1394" s="67" t="inlineStr">
        <is>
          <t>UN</t>
        </is>
      </c>
      <c r="G1394" s="84" t="n">
        <v>1</v>
      </c>
      <c r="H1394" s="57" t="inlineStr"/>
      <c r="I1394" s="139" t="n">
        <v>499.8</v>
      </c>
      <c r="J1394" s="140" t="n">
        <v>9.305</v>
      </c>
      <c r="K1394" s="86" t="inlineStr">
        <is>
          <t>PEN</t>
        </is>
      </c>
    </row>
    <row r="1395">
      <c r="A1395" s="84" t="n">
        <v>31014507</v>
      </c>
      <c r="B1395" s="67" t="inlineStr">
        <is>
          <t>TPSU</t>
        </is>
      </c>
      <c r="C1395" s="90" t="inlineStr">
        <is>
          <t>L001</t>
        </is>
      </c>
      <c r="D1395" s="84" t="inlineStr">
        <is>
          <t>ZONA FERIX</t>
        </is>
      </c>
      <c r="E1395" s="80" t="inlineStr">
        <is>
          <t>TUBO 2"X6MT.FEN.SCH 40 SOLD.</t>
        </is>
      </c>
      <c r="F1395" s="67" t="inlineStr">
        <is>
          <t>M</t>
        </is>
      </c>
      <c r="G1395" s="84" t="n">
        <v>12</v>
      </c>
      <c r="H1395" s="57" t="inlineStr"/>
      <c r="I1395" s="139" t="n">
        <v>241.44</v>
      </c>
      <c r="J1395" s="140" t="n">
        <v>364.250505050505</v>
      </c>
      <c r="K1395" s="86" t="inlineStr">
        <is>
          <t>PEN</t>
        </is>
      </c>
    </row>
    <row r="1396">
      <c r="A1396" s="84" t="n">
        <v>31014525</v>
      </c>
      <c r="B1396" s="67" t="inlineStr">
        <is>
          <t>TPSU</t>
        </is>
      </c>
      <c r="C1396" s="90" t="inlineStr">
        <is>
          <t>L004</t>
        </is>
      </c>
      <c r="D1396" s="84" t="inlineStr">
        <is>
          <t>ZONA FERIX</t>
        </is>
      </c>
      <c r="E1396" s="80" t="inlineStr">
        <is>
          <t>TUBO 3" INOX.316 SCH10</t>
        </is>
      </c>
      <c r="F1396" s="67" t="inlineStr">
        <is>
          <t>M</t>
        </is>
      </c>
      <c r="G1396" s="84" t="n">
        <v>24</v>
      </c>
      <c r="H1396" s="57" t="inlineStr"/>
      <c r="I1396" s="139" t="n">
        <v>1482.1</v>
      </c>
      <c r="J1396" s="140" t="n">
        <v>71.19199999999999</v>
      </c>
      <c r="K1396" s="86" t="inlineStr">
        <is>
          <t>PEN</t>
        </is>
      </c>
    </row>
    <row r="1397">
      <c r="A1397" s="84" t="n">
        <v>31014549</v>
      </c>
      <c r="B1397" s="67" t="inlineStr">
        <is>
          <t>TPSU</t>
        </is>
      </c>
      <c r="C1397" s="90" t="inlineStr">
        <is>
          <t>L001</t>
        </is>
      </c>
      <c r="D1397" s="84" t="inlineStr">
        <is>
          <t>ZONA FERIX</t>
        </is>
      </c>
      <c r="E1397" s="80" t="inlineStr">
        <is>
          <t>TUBO 3/4" X 5MT PVC PESADO CL 10 ROSC.</t>
        </is>
      </c>
      <c r="F1397" s="67" t="inlineStr">
        <is>
          <t>UN</t>
        </is>
      </c>
      <c r="G1397" s="84" t="n">
        <v>8</v>
      </c>
      <c r="H1397" s="57" t="inlineStr"/>
      <c r="I1397" s="139" t="n">
        <v>160.61</v>
      </c>
      <c r="J1397" s="140" t="n">
        <v>12.294</v>
      </c>
      <c r="K1397" s="86" t="inlineStr">
        <is>
          <t>PEN</t>
        </is>
      </c>
    </row>
    <row r="1398">
      <c r="A1398" s="84" t="n">
        <v>31014550</v>
      </c>
      <c r="B1398" s="67" t="inlineStr">
        <is>
          <t>TPSU</t>
        </is>
      </c>
      <c r="C1398" s="90" t="inlineStr">
        <is>
          <t>L001</t>
        </is>
      </c>
      <c r="D1398" s="84" t="inlineStr">
        <is>
          <t>ZONA FERIX</t>
        </is>
      </c>
      <c r="E1398" s="80" t="inlineStr">
        <is>
          <t>TUBO 3/4" X 6.40MT FE. GALV.</t>
        </is>
      </c>
      <c r="F1398" s="67" t="inlineStr">
        <is>
          <t>UN</t>
        </is>
      </c>
      <c r="G1398" s="84" t="n">
        <v>3</v>
      </c>
      <c r="H1398" s="57" t="inlineStr"/>
      <c r="I1398" s="139" t="n">
        <v>100.23</v>
      </c>
      <c r="J1398" s="140" t="n">
        <v>7.9825</v>
      </c>
      <c r="K1398" s="86" t="inlineStr">
        <is>
          <t>PEN</t>
        </is>
      </c>
    </row>
    <row r="1399">
      <c r="A1399" s="84" t="n">
        <v>31014556</v>
      </c>
      <c r="B1399" s="67" t="inlineStr">
        <is>
          <t>TPSU</t>
        </is>
      </c>
      <c r="C1399" s="90" t="inlineStr">
        <is>
          <t>L001</t>
        </is>
      </c>
      <c r="D1399" s="84" t="inlineStr">
        <is>
          <t>ZONA FERIX</t>
        </is>
      </c>
      <c r="E1399" s="80" t="inlineStr">
        <is>
          <t>TUBO 38MM INOX. ASTM-249 AISI-304L</t>
        </is>
      </c>
      <c r="F1399" s="67" t="inlineStr">
        <is>
          <t>M</t>
        </is>
      </c>
      <c r="G1399" s="84" t="n">
        <v>50</v>
      </c>
      <c r="H1399" s="57" t="inlineStr"/>
      <c r="I1399" s="139" t="n">
        <v>757.4400000000001</v>
      </c>
      <c r="J1399" s="140" t="n">
        <v>22.62</v>
      </c>
      <c r="K1399" s="86" t="inlineStr">
        <is>
          <t>PEN</t>
        </is>
      </c>
    </row>
    <row r="1400">
      <c r="A1400" s="84" t="n">
        <v>31014587</v>
      </c>
      <c r="B1400" s="67" t="inlineStr">
        <is>
          <t>TPSU</t>
        </is>
      </c>
      <c r="C1400" s="90" t="inlineStr">
        <is>
          <t>L001</t>
        </is>
      </c>
      <c r="D1400" s="84" t="inlineStr">
        <is>
          <t>ZONA FERIX</t>
        </is>
      </c>
      <c r="E1400" s="80" t="inlineStr">
        <is>
          <t>TUBO 8" SCH40</t>
        </is>
      </c>
      <c r="F1400" s="67" t="inlineStr">
        <is>
          <t>M</t>
        </is>
      </c>
      <c r="G1400" s="84" t="n">
        <v>18</v>
      </c>
      <c r="H1400" s="57" t="inlineStr"/>
      <c r="I1400" s="139" t="n">
        <v>2855.79</v>
      </c>
      <c r="J1400" s="140" t="n">
        <v>14.91684210526316</v>
      </c>
      <c r="K1400" s="86" t="inlineStr">
        <is>
          <t>PEN</t>
        </is>
      </c>
    </row>
    <row r="1401">
      <c r="A1401" s="84" t="n">
        <v>33039889</v>
      </c>
      <c r="B1401" s="82" t="inlineStr">
        <is>
          <t>TPSU</t>
        </is>
      </c>
      <c r="C1401" s="82" t="inlineStr">
        <is>
          <t>L004</t>
        </is>
      </c>
      <c r="D1401" s="84" t="inlineStr">
        <is>
          <t>ZONA FERIX</t>
        </is>
      </c>
      <c r="E1401" s="80" t="inlineStr">
        <is>
          <t>VALV. MARIP. 16"FO.FDO AS.BUNA T/W C/</t>
        </is>
      </c>
      <c r="F1401" s="67" t="inlineStr">
        <is>
          <t>UN</t>
        </is>
      </c>
      <c r="G1401" s="84" t="n">
        <v>1</v>
      </c>
      <c r="H1401" s="57" t="inlineStr"/>
      <c r="I1401" s="139" t="n">
        <v>4255.92</v>
      </c>
      <c r="J1401" s="140" t="n">
        <v>43.25</v>
      </c>
      <c r="K1401" s="86" t="inlineStr">
        <is>
          <t>PEN</t>
        </is>
      </c>
    </row>
    <row r="1402">
      <c r="A1402" s="84" t="n">
        <v>31015195</v>
      </c>
      <c r="B1402" s="82" t="inlineStr">
        <is>
          <t>TPSU</t>
        </is>
      </c>
      <c r="C1402" s="82" t="inlineStr">
        <is>
          <t>L001</t>
        </is>
      </c>
      <c r="D1402" s="84" t="inlineStr">
        <is>
          <t>ZONA FERIX</t>
        </is>
      </c>
      <c r="E1402" s="80" t="inlineStr">
        <is>
          <t>VARILLA 1/4" X 6 MT INOX.304</t>
        </is>
      </c>
      <c r="F1402" s="67" t="inlineStr">
        <is>
          <t>UN</t>
        </is>
      </c>
      <c r="G1402" s="84" t="n">
        <v>1</v>
      </c>
      <c r="H1402" s="57" t="inlineStr"/>
      <c r="I1402" s="139" t="n">
        <v>31.93</v>
      </c>
      <c r="J1402" s="140" t="n">
        <v>3.64</v>
      </c>
      <c r="K1402" s="86" t="inlineStr">
        <is>
          <t>PEN</t>
        </is>
      </c>
    </row>
    <row r="1403">
      <c r="A1403" s="84" t="n">
        <v>31015195</v>
      </c>
      <c r="B1403" s="67" t="inlineStr">
        <is>
          <t>TPSU</t>
        </is>
      </c>
      <c r="C1403" s="90" t="inlineStr">
        <is>
          <t>L001</t>
        </is>
      </c>
      <c r="D1403" s="84" t="inlineStr">
        <is>
          <t>ZONA FERIX</t>
        </is>
      </c>
      <c r="E1403" s="80" t="inlineStr">
        <is>
          <t>VARILLA 1/4" X 6 MT INOX.304</t>
        </is>
      </c>
      <c r="F1403" s="67" t="inlineStr">
        <is>
          <t>UN</t>
        </is>
      </c>
      <c r="G1403" s="84" t="n">
        <v>6</v>
      </c>
      <c r="H1403" s="57" t="inlineStr"/>
      <c r="I1403" s="139" t="n">
        <v>168.96</v>
      </c>
      <c r="J1403" s="140" t="n">
        <v>5.641818181818182</v>
      </c>
      <c r="K1403" s="86" t="inlineStr">
        <is>
          <t>PEN</t>
        </is>
      </c>
    </row>
    <row r="1404">
      <c r="A1404" s="84" t="n">
        <v>20000662</v>
      </c>
      <c r="B1404" s="67" t="inlineStr">
        <is>
          <t>TPSU</t>
        </is>
      </c>
      <c r="C1404" s="90" t="inlineStr">
        <is>
          <t>L001</t>
        </is>
      </c>
      <c r="D1404" s="84" t="inlineStr">
        <is>
          <t>ZONA IQBF</t>
        </is>
      </c>
      <c r="E1404" s="80" t="inlineStr">
        <is>
          <t>PRECINTO SEGURIDAD DE POLIP PG 2 X 25 CM</t>
        </is>
      </c>
      <c r="F1404" s="67" t="inlineStr">
        <is>
          <t>UN</t>
        </is>
      </c>
      <c r="G1404" s="84" t="n">
        <v>100</v>
      </c>
      <c r="H1404" s="57" t="inlineStr">
        <is>
          <t>1750621505</t>
        </is>
      </c>
      <c r="I1404" s="139" t="n">
        <v>39.85</v>
      </c>
      <c r="J1404" s="140" t="n">
        <v>39.98</v>
      </c>
      <c r="K1404" s="86" t="inlineStr">
        <is>
          <t>PEN</t>
        </is>
      </c>
    </row>
    <row r="1405">
      <c r="A1405" s="84" t="n">
        <v>20000662</v>
      </c>
      <c r="B1405" s="67" t="inlineStr">
        <is>
          <t>TPSU</t>
        </is>
      </c>
      <c r="C1405" s="90" t="inlineStr">
        <is>
          <t>L001</t>
        </is>
      </c>
      <c r="D1405" s="84" t="inlineStr">
        <is>
          <t>ZONA IQBF</t>
        </is>
      </c>
      <c r="E1405" s="80" t="inlineStr">
        <is>
          <t>PRECINTO SEGURIDAD DE POLIP PG 2 X 25 CM</t>
        </is>
      </c>
      <c r="F1405" s="67" t="inlineStr">
        <is>
          <t>UN</t>
        </is>
      </c>
      <c r="G1405" s="84" t="n">
        <v>50</v>
      </c>
      <c r="H1405" s="57" t="inlineStr">
        <is>
          <t>8001-9000</t>
        </is>
      </c>
      <c r="I1405" s="139" t="n">
        <v>19.93</v>
      </c>
      <c r="J1405" s="140" t="n">
        <v>30.85106382978724</v>
      </c>
      <c r="K1405" s="86" t="inlineStr">
        <is>
          <t>PEN</t>
        </is>
      </c>
    </row>
    <row r="1406">
      <c r="A1406" s="84" t="n">
        <v>31008591</v>
      </c>
      <c r="B1406" s="67" t="inlineStr">
        <is>
          <t>TPSU</t>
        </is>
      </c>
      <c r="C1406" s="90" t="inlineStr">
        <is>
          <t>L004</t>
        </is>
      </c>
      <c r="D1406" s="84" t="inlineStr">
        <is>
          <t>ZV-0103</t>
        </is>
      </c>
      <c r="E1406" s="80" t="inlineStr">
        <is>
          <t>ANTINCRUSTANTE GENESYS LF</t>
        </is>
      </c>
      <c r="F1406" s="67" t="inlineStr">
        <is>
          <t>KG</t>
        </is>
      </c>
      <c r="G1406" s="84" t="n">
        <v>25</v>
      </c>
      <c r="H1406" s="57" t="inlineStr">
        <is>
          <t>8A26/3</t>
        </is>
      </c>
      <c r="I1406" s="139" t="n">
        <v>758</v>
      </c>
      <c r="J1406" s="140" t="n">
        <v>2.2</v>
      </c>
      <c r="K1406" s="86" t="inlineStr">
        <is>
          <t>PEN</t>
        </is>
      </c>
    </row>
    <row r="1407">
      <c r="A1407" s="84" t="n">
        <v>33032528</v>
      </c>
      <c r="B1407" s="67" t="inlineStr">
        <is>
          <t>TPSU</t>
        </is>
      </c>
      <c r="C1407" s="90" t="inlineStr">
        <is>
          <t>L004</t>
        </is>
      </c>
      <c r="D1407" s="84" t="inlineStr">
        <is>
          <t>ZV-0201</t>
        </is>
      </c>
      <c r="E1407" s="80" t="inlineStr">
        <is>
          <t>FAJA DENTADA XPB-3350</t>
        </is>
      </c>
      <c r="F1407" s="67" t="inlineStr">
        <is>
          <t>UN</t>
        </is>
      </c>
      <c r="G1407" s="84" t="n">
        <v>4</v>
      </c>
      <c r="H1407" s="57" t="inlineStr">
        <is>
          <t>01.04.2017</t>
        </is>
      </c>
      <c r="I1407" s="139" t="n">
        <v>277.54</v>
      </c>
      <c r="J1407" s="140" t="n">
        <v>371</v>
      </c>
      <c r="K1407" s="86" t="inlineStr">
        <is>
          <t>PEN</t>
        </is>
      </c>
    </row>
    <row r="1408">
      <c r="A1408" s="84" t="n">
        <v>33032528</v>
      </c>
      <c r="B1408" s="67" t="inlineStr">
        <is>
          <t>TPSU</t>
        </is>
      </c>
      <c r="C1408" s="67" t="inlineStr">
        <is>
          <t>L004</t>
        </is>
      </c>
      <c r="D1408" s="84" t="inlineStr">
        <is>
          <t>ZV-0201</t>
        </is>
      </c>
      <c r="E1408" s="80" t="inlineStr">
        <is>
          <t>FAJA DENTADA XPB-3350</t>
        </is>
      </c>
      <c r="F1408" s="67" t="inlineStr">
        <is>
          <t>UN</t>
        </is>
      </c>
      <c r="G1408" s="84" t="n">
        <v>1</v>
      </c>
      <c r="H1408" s="57" t="inlineStr">
        <is>
          <t>012010</t>
        </is>
      </c>
      <c r="I1408" s="139" t="n">
        <v>69.39</v>
      </c>
      <c r="J1408" s="140" t="n">
        <v>68.52</v>
      </c>
      <c r="K1408" s="86" t="inlineStr">
        <is>
          <t>PEN</t>
        </is>
      </c>
    </row>
    <row r="1409">
      <c r="A1409" s="84" t="n">
        <v>33032642</v>
      </c>
      <c r="B1409" s="67" t="inlineStr">
        <is>
          <t>TPSU</t>
        </is>
      </c>
      <c r="C1409" s="67" t="inlineStr">
        <is>
          <t>L004</t>
        </is>
      </c>
      <c r="D1409" s="84" t="inlineStr">
        <is>
          <t>ZV-0201</t>
        </is>
      </c>
      <c r="E1409" s="85" t="inlineStr">
        <is>
          <t>FAJA V B-61</t>
        </is>
      </c>
      <c r="F1409" s="67" t="inlineStr">
        <is>
          <t>UN</t>
        </is>
      </c>
      <c r="G1409" s="84" t="n">
        <v>2</v>
      </c>
      <c r="H1409" s="57" t="inlineStr">
        <is>
          <t>GR4583184</t>
        </is>
      </c>
      <c r="I1409" s="139" t="n">
        <v>32.92</v>
      </c>
      <c r="J1409" s="140" t="n">
        <v>167.14</v>
      </c>
      <c r="K1409" s="84" t="inlineStr">
        <is>
          <t>PEN</t>
        </is>
      </c>
    </row>
    <row r="1410">
      <c r="A1410" s="84" t="n">
        <v>34005010</v>
      </c>
      <c r="B1410" s="67" t="inlineStr">
        <is>
          <t>TPSU</t>
        </is>
      </c>
      <c r="C1410" s="67" t="inlineStr">
        <is>
          <t>L004</t>
        </is>
      </c>
      <c r="D1410" s="84" t="inlineStr">
        <is>
          <t>ZV-0202</t>
        </is>
      </c>
      <c r="E1410" s="85" t="inlineStr">
        <is>
          <t>FAJA GL 3L-130</t>
        </is>
      </c>
      <c r="F1410" s="67" t="inlineStr">
        <is>
          <t>UN</t>
        </is>
      </c>
      <c r="G1410" s="84" t="n">
        <v>1</v>
      </c>
      <c r="H1410" s="57" t="inlineStr">
        <is>
          <t>G01-006314</t>
        </is>
      </c>
      <c r="I1410" s="139" t="n">
        <v>79.59999999999999</v>
      </c>
      <c r="J1410" s="140" t="n">
        <v>8.219444444444443</v>
      </c>
      <c r="K1410" s="84" t="inlineStr">
        <is>
          <t>PEN</t>
        </is>
      </c>
    </row>
    <row r="1411">
      <c r="A1411" s="84" t="n">
        <v>33032605</v>
      </c>
      <c r="B1411" s="67" t="inlineStr">
        <is>
          <t>TPSU</t>
        </is>
      </c>
      <c r="C1411" s="67" t="inlineStr">
        <is>
          <t>L004</t>
        </is>
      </c>
      <c r="D1411" s="84" t="inlineStr">
        <is>
          <t>ZV-0202</t>
        </is>
      </c>
      <c r="E1411" s="85" t="inlineStr">
        <is>
          <t>FAJA V A-49</t>
        </is>
      </c>
      <c r="F1411" s="67" t="inlineStr">
        <is>
          <t>UN</t>
        </is>
      </c>
      <c r="G1411" s="84" t="n">
        <v>1</v>
      </c>
      <c r="H1411" s="57" t="inlineStr">
        <is>
          <t>G02-29210</t>
        </is>
      </c>
      <c r="I1411" s="139" t="n">
        <v>11.17</v>
      </c>
      <c r="J1411" s="140" t="n">
        <v>30.85714285714285</v>
      </c>
      <c r="K1411" s="84" t="inlineStr">
        <is>
          <t>PEN</t>
        </is>
      </c>
    </row>
    <row r="1412">
      <c r="A1412" s="84" t="n">
        <v>33040361</v>
      </c>
      <c r="B1412" s="67" t="inlineStr">
        <is>
          <t>TPSU</t>
        </is>
      </c>
      <c r="C1412" s="67" t="inlineStr">
        <is>
          <t>L004</t>
        </is>
      </c>
      <c r="D1412" s="84" t="inlineStr">
        <is>
          <t>ZV-0202</t>
        </is>
      </c>
      <c r="E1412" s="85" t="inlineStr">
        <is>
          <t>FAJA V B-86</t>
        </is>
      </c>
      <c r="F1412" s="67" t="inlineStr">
        <is>
          <t>UN</t>
        </is>
      </c>
      <c r="G1412" s="84" t="n">
        <v>2</v>
      </c>
      <c r="H1412" s="57" t="inlineStr">
        <is>
          <t>0040538676</t>
        </is>
      </c>
      <c r="I1412" s="139" t="n">
        <v>46.59</v>
      </c>
      <c r="J1412" s="140" t="n">
        <v>23.73729596550662</v>
      </c>
      <c r="K1412" s="84" t="inlineStr">
        <is>
          <t>PEN</t>
        </is>
      </c>
    </row>
    <row r="1413">
      <c r="A1413" s="84" t="n">
        <v>33040361</v>
      </c>
      <c r="B1413" s="67" t="inlineStr">
        <is>
          <t>TPSU</t>
        </is>
      </c>
      <c r="C1413" s="67" t="inlineStr">
        <is>
          <t>L004</t>
        </is>
      </c>
      <c r="D1413" s="84" t="inlineStr">
        <is>
          <t>ZV-0202</t>
        </is>
      </c>
      <c r="E1413" s="85" t="inlineStr">
        <is>
          <t>FAJA V B-86</t>
        </is>
      </c>
      <c r="F1413" s="67" t="inlineStr">
        <is>
          <t>UN</t>
        </is>
      </c>
      <c r="G1413" s="84" t="n">
        <v>2</v>
      </c>
      <c r="H1413" s="57" t="inlineStr">
        <is>
          <t>G04-511829</t>
        </is>
      </c>
      <c r="I1413" s="139" t="n">
        <v>46.59</v>
      </c>
      <c r="J1413" s="140" t="n">
        <v>0</v>
      </c>
      <c r="K1413" s="84" t="inlineStr">
        <is>
          <t>PEN</t>
        </is>
      </c>
    </row>
    <row r="1414">
      <c r="A1414" s="84" t="n">
        <v>33033169</v>
      </c>
      <c r="B1414" s="67" t="inlineStr">
        <is>
          <t>TPSU</t>
        </is>
      </c>
      <c r="C1414" s="67" t="inlineStr">
        <is>
          <t>L004</t>
        </is>
      </c>
      <c r="D1414" s="84" t="inlineStr">
        <is>
          <t>ZV-0202</t>
        </is>
      </c>
      <c r="E1414" s="85" t="inlineStr">
        <is>
          <t>FILTRO SEPARADOR 0925005</t>
        </is>
      </c>
      <c r="F1414" s="67" t="inlineStr">
        <is>
          <t>UN</t>
        </is>
      </c>
      <c r="G1414" s="84" t="n">
        <v>1</v>
      </c>
      <c r="H1414" s="57" t="inlineStr">
        <is>
          <t>G.01079394</t>
        </is>
      </c>
      <c r="I1414" s="139" t="n">
        <v>233.21</v>
      </c>
      <c r="J1414" s="140" t="n">
        <v>493.274</v>
      </c>
      <c r="K1414" s="84" t="inlineStr">
        <is>
          <t>PEN</t>
        </is>
      </c>
    </row>
    <row r="1415">
      <c r="A1415" s="84" t="n">
        <v>33033169</v>
      </c>
      <c r="B1415" s="67" t="inlineStr">
        <is>
          <t>TPSU</t>
        </is>
      </c>
      <c r="C1415" s="67" t="inlineStr">
        <is>
          <t>L004</t>
        </is>
      </c>
      <c r="D1415" s="84" t="inlineStr">
        <is>
          <t>ZV-0202</t>
        </is>
      </c>
      <c r="E1415" s="85" t="inlineStr">
        <is>
          <t>FILTRO SEPARADOR 0925005</t>
        </is>
      </c>
      <c r="F1415" s="67" t="inlineStr">
        <is>
          <t>UN</t>
        </is>
      </c>
      <c r="G1415" s="84" t="n">
        <v>1</v>
      </c>
      <c r="H1415" s="57" t="inlineStr">
        <is>
          <t>G/R179798</t>
        </is>
      </c>
      <c r="I1415" s="139" t="n">
        <v>233.21</v>
      </c>
      <c r="J1415" s="142">
        <f>+I1415/G1415</f>
        <v/>
      </c>
      <c r="K1415" s="84" t="inlineStr">
        <is>
          <t>PEN</t>
        </is>
      </c>
    </row>
    <row r="1416">
      <c r="A1416" s="84" t="n">
        <v>33032785</v>
      </c>
      <c r="B1416" s="67" t="inlineStr">
        <is>
          <t>TPSU</t>
        </is>
      </c>
      <c r="C1416" s="67" t="inlineStr">
        <is>
          <t>L004</t>
        </is>
      </c>
      <c r="D1416" s="84" t="inlineStr">
        <is>
          <t>ZV-0203</t>
        </is>
      </c>
      <c r="E1416" s="85" t="inlineStr">
        <is>
          <t>FILTRO ACEITE 0031845301</t>
        </is>
      </c>
      <c r="F1416" s="67" t="inlineStr">
        <is>
          <t>UN</t>
        </is>
      </c>
      <c r="G1416" s="84" t="n">
        <v>1</v>
      </c>
      <c r="H1416" s="57" t="inlineStr">
        <is>
          <t>CR-00055</t>
        </is>
      </c>
      <c r="I1416" s="139" t="n">
        <v>159.95</v>
      </c>
      <c r="J1416" s="142">
        <f>+I1416/G1416</f>
        <v/>
      </c>
      <c r="K1416" s="84" t="inlineStr">
        <is>
          <t>PEN</t>
        </is>
      </c>
    </row>
    <row r="1417">
      <c r="A1417" s="84" t="n">
        <v>33032823</v>
      </c>
      <c r="B1417" s="67" t="inlineStr">
        <is>
          <t>TPSU</t>
        </is>
      </c>
      <c r="C1417" s="67" t="inlineStr">
        <is>
          <t>L005</t>
        </is>
      </c>
      <c r="D1417" s="84" t="inlineStr">
        <is>
          <t>ZV-0203</t>
        </is>
      </c>
      <c r="E1417" s="85" t="inlineStr">
        <is>
          <t>FILTRO ACEITE DONALDSON P551352</t>
        </is>
      </c>
      <c r="F1417" s="67" t="inlineStr">
        <is>
          <t>UN</t>
        </is>
      </c>
      <c r="G1417" s="84" t="n">
        <v>3</v>
      </c>
      <c r="H1417" s="57" t="inlineStr">
        <is>
          <t>GR6101870</t>
        </is>
      </c>
      <c r="I1417" s="139" t="n">
        <v>63.41</v>
      </c>
      <c r="J1417" s="142">
        <f>+I1417/G1417</f>
        <v/>
      </c>
      <c r="K1417" s="84" t="inlineStr">
        <is>
          <t>PEN</t>
        </is>
      </c>
    </row>
    <row r="1418">
      <c r="A1418" s="84" t="n">
        <v>33033107</v>
      </c>
      <c r="B1418" s="67" t="inlineStr">
        <is>
          <t>TPSU</t>
        </is>
      </c>
      <c r="C1418" s="67" t="inlineStr">
        <is>
          <t>L004</t>
        </is>
      </c>
      <c r="D1418" s="84" t="inlineStr">
        <is>
          <t>ZV-0203</t>
        </is>
      </c>
      <c r="E1418" s="85" t="inlineStr">
        <is>
          <t>FILTRO PETROLEO JHON DEERE AR86745</t>
        </is>
      </c>
      <c r="F1418" s="67" t="inlineStr">
        <is>
          <t>UN</t>
        </is>
      </c>
      <c r="G1418" s="84" t="n">
        <v>1</v>
      </c>
      <c r="H1418" s="57" t="inlineStr">
        <is>
          <t>7C18-1</t>
        </is>
      </c>
      <c r="I1418" s="139" t="n">
        <v>93.39</v>
      </c>
      <c r="J1418" s="142">
        <f>+I1418/G1418</f>
        <v/>
      </c>
      <c r="K1418" s="84" t="inlineStr">
        <is>
          <t>PEN</t>
        </is>
      </c>
    </row>
    <row r="1419">
      <c r="A1419" s="84" t="n">
        <v>33032016</v>
      </c>
      <c r="B1419" s="67" t="inlineStr">
        <is>
          <t>TPSU</t>
        </is>
      </c>
      <c r="C1419" s="67" t="inlineStr">
        <is>
          <t>L004</t>
        </is>
      </c>
      <c r="D1419" s="84" t="inlineStr">
        <is>
          <t>ZV-0204</t>
        </is>
      </c>
      <c r="E1419" s="85" t="inlineStr">
        <is>
          <t>ELEM.FILTRO PETR./SEP.AGUA RACOR 2040SM</t>
        </is>
      </c>
      <c r="F1419" s="67" t="inlineStr">
        <is>
          <t>UN</t>
        </is>
      </c>
      <c r="G1419" s="84" t="n">
        <v>12</v>
      </c>
      <c r="H1419" s="57" t="inlineStr">
        <is>
          <t>G4/31108</t>
        </is>
      </c>
      <c r="I1419" s="139" t="n">
        <v>275.77</v>
      </c>
      <c r="J1419" s="142">
        <f>+I1419/G1419</f>
        <v/>
      </c>
      <c r="K1419" s="84" t="inlineStr">
        <is>
          <t>PEN</t>
        </is>
      </c>
    </row>
    <row r="1420">
      <c r="A1420" s="84" t="n">
        <v>33032762</v>
      </c>
      <c r="B1420" s="67" t="inlineStr">
        <is>
          <t>TPSU</t>
        </is>
      </c>
      <c r="C1420" s="67" t="inlineStr">
        <is>
          <t>L004</t>
        </is>
      </c>
      <c r="D1420" s="84" t="inlineStr">
        <is>
          <t>ZV-0204</t>
        </is>
      </c>
      <c r="E1420" s="85" t="inlineStr">
        <is>
          <t>FILTER FUEL 3331673</t>
        </is>
      </c>
      <c r="F1420" s="67" t="inlineStr">
        <is>
          <t>UN</t>
        </is>
      </c>
      <c r="G1420" s="84" t="n">
        <v>4</v>
      </c>
      <c r="H1420" s="57" t="inlineStr">
        <is>
          <t>0131281823</t>
        </is>
      </c>
      <c r="I1420" s="139" t="n">
        <v>225.15</v>
      </c>
      <c r="J1420" s="142">
        <f>+I1420/G1420</f>
        <v/>
      </c>
      <c r="K1420" s="84" t="inlineStr">
        <is>
          <t>PEN</t>
        </is>
      </c>
    </row>
    <row r="1421">
      <c r="A1421" s="84" t="n">
        <v>33035324</v>
      </c>
      <c r="B1421" s="67" t="inlineStr">
        <is>
          <t>TPSU</t>
        </is>
      </c>
      <c r="C1421" s="67" t="inlineStr">
        <is>
          <t>L004</t>
        </is>
      </c>
      <c r="D1421" s="84" t="inlineStr">
        <is>
          <t>ZV-0204</t>
        </is>
      </c>
      <c r="E1421" s="85" t="inlineStr">
        <is>
          <t>OIL FILTER 201-55370</t>
        </is>
      </c>
      <c r="F1421" s="67" t="inlineStr">
        <is>
          <t>UN</t>
        </is>
      </c>
      <c r="G1421" s="84" t="n">
        <v>4</v>
      </c>
      <c r="H1421" s="57" t="inlineStr">
        <is>
          <t>G/1 11293</t>
        </is>
      </c>
      <c r="I1421" s="139" t="n">
        <v>76.15000000000001</v>
      </c>
      <c r="J1421" s="142">
        <f>+I1421/G1421</f>
        <v/>
      </c>
      <c r="K1421" s="84" t="inlineStr">
        <is>
          <t>PEN</t>
        </is>
      </c>
    </row>
    <row r="1422">
      <c r="A1422" s="84" t="n">
        <v>33032933</v>
      </c>
      <c r="B1422" s="67" t="inlineStr">
        <is>
          <t>TPSU</t>
        </is>
      </c>
      <c r="C1422" s="67" t="inlineStr">
        <is>
          <t>L004</t>
        </is>
      </c>
      <c r="D1422" s="84" t="inlineStr">
        <is>
          <t>ZV-0205</t>
        </is>
      </c>
      <c r="E1422" s="85" t="inlineStr">
        <is>
          <t>FILTRO AIRE DONALDSON P607240</t>
        </is>
      </c>
      <c r="F1422" s="67" t="inlineStr">
        <is>
          <t>UN</t>
        </is>
      </c>
      <c r="G1422" s="84" t="n">
        <v>3</v>
      </c>
      <c r="H1422" s="57" t="inlineStr">
        <is>
          <t>GR61 553</t>
        </is>
      </c>
      <c r="I1422" s="139" t="n">
        <v>153.92</v>
      </c>
      <c r="J1422" s="142">
        <f>+I1422/G1422</f>
        <v/>
      </c>
      <c r="K1422" s="84" t="inlineStr">
        <is>
          <t>PEN</t>
        </is>
      </c>
    </row>
    <row r="1423">
      <c r="A1423" s="84" t="n">
        <v>33033086</v>
      </c>
      <c r="B1423" s="67" t="inlineStr">
        <is>
          <t>TPSU</t>
        </is>
      </c>
      <c r="C1423" s="67" t="inlineStr">
        <is>
          <t>L004</t>
        </is>
      </c>
      <c r="D1423" s="84" t="inlineStr">
        <is>
          <t>ZV-0205</t>
        </is>
      </c>
      <c r="E1423" s="85" t="inlineStr">
        <is>
          <t>FILTRO PETROLEO DONALDSON P551311</t>
        </is>
      </c>
      <c r="F1423" s="67" t="inlineStr">
        <is>
          <t>UN</t>
        </is>
      </c>
      <c r="G1423" s="84" t="n">
        <v>3</v>
      </c>
      <c r="H1423" s="57" t="inlineStr">
        <is>
          <t>G/61 452</t>
        </is>
      </c>
      <c r="I1423" s="139" t="n">
        <v>106.3</v>
      </c>
      <c r="J1423" s="142">
        <f>+I1423/G1423</f>
        <v/>
      </c>
      <c r="K1423" s="84" t="inlineStr">
        <is>
          <t>PEN</t>
        </is>
      </c>
    </row>
    <row r="1424">
      <c r="A1424" s="84" t="n">
        <v>33033087</v>
      </c>
      <c r="B1424" s="67" t="inlineStr">
        <is>
          <t>TPSU</t>
        </is>
      </c>
      <c r="C1424" s="67" t="inlineStr">
        <is>
          <t>L004</t>
        </is>
      </c>
      <c r="D1424" s="84" t="inlineStr">
        <is>
          <t>ZV-0205</t>
        </is>
      </c>
      <c r="E1424" s="85" t="inlineStr">
        <is>
          <t>FILTRO PETROLEO DONALDSON P551313</t>
        </is>
      </c>
      <c r="F1424" s="67" t="inlineStr">
        <is>
          <t>UN</t>
        </is>
      </c>
      <c r="G1424" s="84" t="n">
        <v>4</v>
      </c>
      <c r="H1424" s="57" t="inlineStr">
        <is>
          <t>T263-69819</t>
        </is>
      </c>
      <c r="I1424" s="139" t="n">
        <v>82.64</v>
      </c>
      <c r="J1424" s="142">
        <f>+I1424/G1424</f>
        <v/>
      </c>
      <c r="K1424" s="84" t="inlineStr">
        <is>
          <t>PEN</t>
        </is>
      </c>
    </row>
    <row r="1425">
      <c r="A1425" s="84" t="n">
        <v>33033087</v>
      </c>
      <c r="B1425" s="67" t="inlineStr">
        <is>
          <t>TPSU</t>
        </is>
      </c>
      <c r="C1425" s="67" t="inlineStr">
        <is>
          <t>L004</t>
        </is>
      </c>
      <c r="D1425" s="84" t="inlineStr">
        <is>
          <t>ZV-0205</t>
        </is>
      </c>
      <c r="E1425" s="85" t="inlineStr">
        <is>
          <t>FILTRO PETROLEO DONALDSON P551313</t>
        </is>
      </c>
      <c r="F1425" s="67" t="inlineStr">
        <is>
          <t>UN</t>
        </is>
      </c>
      <c r="G1425" s="84" t="n">
        <v>4</v>
      </c>
      <c r="H1425" s="57" t="inlineStr">
        <is>
          <t>T263-69935</t>
        </is>
      </c>
      <c r="I1425" s="139" t="n">
        <v>82.64</v>
      </c>
      <c r="J1425" s="142">
        <f>+I1425/G1425</f>
        <v/>
      </c>
      <c r="K1425" s="84" t="inlineStr">
        <is>
          <t>PEN</t>
        </is>
      </c>
    </row>
    <row r="1426">
      <c r="A1426" s="84" t="n">
        <v>31013856</v>
      </c>
      <c r="B1426" s="67" t="inlineStr">
        <is>
          <t>TPSU</t>
        </is>
      </c>
      <c r="C1426" s="67" t="inlineStr">
        <is>
          <t>L005</t>
        </is>
      </c>
      <c r="D1426" s="84" t="inlineStr">
        <is>
          <t>ZV-0303</t>
        </is>
      </c>
      <c r="E1426" s="85" t="inlineStr">
        <is>
          <t>SOLDADURA CELLOCORD 6011 2.50MM (25KG)</t>
        </is>
      </c>
      <c r="F1426" s="67" t="inlineStr">
        <is>
          <t>KG</t>
        </is>
      </c>
      <c r="G1426" s="84" t="n">
        <v>10</v>
      </c>
      <c r="H1426" s="57" t="inlineStr">
        <is>
          <t>8112016000</t>
        </is>
      </c>
      <c r="I1426" s="139" t="n">
        <v>93.05</v>
      </c>
      <c r="J1426" s="142">
        <f>+I1426/G1426</f>
        <v/>
      </c>
      <c r="K1426" s="84" t="inlineStr">
        <is>
          <t>PEN</t>
        </is>
      </c>
    </row>
    <row r="1427">
      <c r="A1427" s="84" t="n">
        <v>31013860</v>
      </c>
      <c r="B1427" s="67" t="inlineStr">
        <is>
          <t>TPSU</t>
        </is>
      </c>
      <c r="C1427" s="67" t="inlineStr">
        <is>
          <t>L005</t>
        </is>
      </c>
      <c r="D1427" s="84" t="inlineStr">
        <is>
          <t>ZV-0303</t>
        </is>
      </c>
      <c r="E1427" s="85" t="inlineStr">
        <is>
          <t>SOLDADURA CITOFONTE ENICI 3.25MM</t>
        </is>
      </c>
      <c r="F1427" s="67" t="inlineStr">
        <is>
          <t>KG</t>
        </is>
      </c>
      <c r="G1427" s="84" t="n">
        <v>2.475</v>
      </c>
      <c r="H1427" s="57" t="inlineStr">
        <is>
          <t>E30784-71</t>
        </is>
      </c>
      <c r="I1427" s="139" t="n">
        <v>901.52</v>
      </c>
      <c r="J1427" s="142">
        <f>+I1427/G1427</f>
        <v/>
      </c>
      <c r="K1427" s="84" t="inlineStr">
        <is>
          <t>PEN</t>
        </is>
      </c>
    </row>
    <row r="1428">
      <c r="A1428" s="84" t="n">
        <v>31013862</v>
      </c>
      <c r="B1428" s="67" t="inlineStr">
        <is>
          <t>TPSU</t>
        </is>
      </c>
      <c r="C1428" s="67" t="inlineStr">
        <is>
          <t>L005</t>
        </is>
      </c>
      <c r="D1428" s="84" t="inlineStr">
        <is>
          <t>ZV-0303</t>
        </is>
      </c>
      <c r="E1428" s="85" t="inlineStr">
        <is>
          <t>SOLDADURA INOX E312  3.25MM (4KG)</t>
        </is>
      </c>
      <c r="F1428" s="67" t="inlineStr">
        <is>
          <t>KG</t>
        </is>
      </c>
      <c r="G1428" s="84" t="n">
        <v>2.5</v>
      </c>
      <c r="H1428" s="57" t="inlineStr">
        <is>
          <t>E30250-21</t>
        </is>
      </c>
      <c r="I1428" s="139" t="n">
        <v>177.98</v>
      </c>
      <c r="J1428" s="142">
        <f>+I1428/G1428</f>
        <v/>
      </c>
      <c r="K1428" s="84" t="inlineStr">
        <is>
          <t>PEN</t>
        </is>
      </c>
    </row>
    <row r="1429">
      <c r="A1429" s="84" t="n">
        <v>31013875</v>
      </c>
      <c r="B1429" s="67" t="inlineStr">
        <is>
          <t>TPSU</t>
        </is>
      </c>
      <c r="C1429" s="67" t="inlineStr">
        <is>
          <t>L005</t>
        </is>
      </c>
      <c r="D1429" s="84" t="inlineStr">
        <is>
          <t>ZV-0303</t>
        </is>
      </c>
      <c r="E1429" s="85" t="inlineStr">
        <is>
          <t>SOLDADURA SUPERCITO E7018 2.50MM (25KG)</t>
        </is>
      </c>
      <c r="F1429" s="67" t="inlineStr">
        <is>
          <t>KG</t>
        </is>
      </c>
      <c r="G1429" s="84" t="n">
        <v>10</v>
      </c>
      <c r="H1429" s="57" t="inlineStr">
        <is>
          <t>E100098</t>
        </is>
      </c>
      <c r="I1429" s="139" t="n">
        <v>122.94</v>
      </c>
      <c r="J1429" s="142">
        <f>+I1429/G1429</f>
        <v/>
      </c>
      <c r="K1429" s="84" t="inlineStr">
        <is>
          <t>PEN</t>
        </is>
      </c>
    </row>
    <row r="1430">
      <c r="A1430" s="84" t="n">
        <v>31013876</v>
      </c>
      <c r="B1430" s="67" t="inlineStr">
        <is>
          <t>TPSU</t>
        </is>
      </c>
      <c r="C1430" s="67" t="inlineStr">
        <is>
          <t>L005</t>
        </is>
      </c>
      <c r="D1430" s="84" t="inlineStr">
        <is>
          <t>ZV-0303</t>
        </is>
      </c>
      <c r="E1430" s="85" t="inlineStr">
        <is>
          <t>SOLDADURA SUPERCITO E7018 4.0MM (25KG)</t>
        </is>
      </c>
      <c r="F1430" s="67" t="inlineStr">
        <is>
          <t>KG</t>
        </is>
      </c>
      <c r="G1430" s="84" t="n">
        <v>4</v>
      </c>
      <c r="H1430" s="57" t="inlineStr">
        <is>
          <t>0260720170</t>
        </is>
      </c>
      <c r="I1430" s="139" t="n">
        <v>31.93</v>
      </c>
      <c r="J1430" s="142">
        <f>+I1430/G1430</f>
        <v/>
      </c>
      <c r="K1430" s="84" t="inlineStr">
        <is>
          <t>PEN</t>
        </is>
      </c>
    </row>
    <row r="1431">
      <c r="A1431" s="84" t="n">
        <v>31013858</v>
      </c>
      <c r="B1431" s="67" t="inlineStr">
        <is>
          <t>TPSU</t>
        </is>
      </c>
      <c r="C1431" s="67" t="inlineStr">
        <is>
          <t>L005</t>
        </is>
      </c>
      <c r="D1431" s="84" t="inlineStr">
        <is>
          <t>ZV-0304</t>
        </is>
      </c>
      <c r="E1431" s="85" t="inlineStr">
        <is>
          <t>SOLDADURA DUR 610 3.25MM (5KG)</t>
        </is>
      </c>
      <c r="F1431" s="67" t="inlineStr">
        <is>
          <t>KG</t>
        </is>
      </c>
      <c r="G1431" s="84" t="n">
        <v>2</v>
      </c>
      <c r="H1431" s="57" t="inlineStr">
        <is>
          <t>4032019000</t>
        </is>
      </c>
      <c r="I1431" s="139" t="n">
        <v>45.24</v>
      </c>
      <c r="J1431" s="142">
        <f>+I1431/G1431</f>
        <v/>
      </c>
      <c r="K1431" s="84" t="inlineStr">
        <is>
          <t>PEN</t>
        </is>
      </c>
    </row>
    <row r="1432">
      <c r="A1432" s="84" t="n">
        <v>32004344</v>
      </c>
      <c r="B1432" s="67" t="inlineStr">
        <is>
          <t>TPSU</t>
        </is>
      </c>
      <c r="C1432" s="67" t="inlineStr">
        <is>
          <t>L004</t>
        </is>
      </c>
      <c r="D1432" s="84" t="inlineStr">
        <is>
          <t>ZV-0404</t>
        </is>
      </c>
      <c r="E1432" s="85" t="inlineStr">
        <is>
          <t>GEL ALCOHOL 60-70° X 1 LT C/VALV.</t>
        </is>
      </c>
      <c r="F1432" s="67" t="inlineStr">
        <is>
          <t>UN</t>
        </is>
      </c>
      <c r="G1432" s="84" t="n">
        <v>19</v>
      </c>
      <c r="H1432" s="57" t="inlineStr">
        <is>
          <t>1020548</t>
        </is>
      </c>
      <c r="I1432" s="139" t="n">
        <v>283.42</v>
      </c>
      <c r="J1432" s="142">
        <f>+I1432/G1432</f>
        <v/>
      </c>
      <c r="K1432" s="84" t="inlineStr">
        <is>
          <t>PEN</t>
        </is>
      </c>
    </row>
    <row r="1433">
      <c r="A1433" s="84" t="n">
        <v>31011346</v>
      </c>
      <c r="B1433" s="67" t="inlineStr">
        <is>
          <t>TPSU</t>
        </is>
      </c>
      <c r="C1433" s="67" t="inlineStr">
        <is>
          <t>L004</t>
        </is>
      </c>
      <c r="D1433" s="84" t="inlineStr">
        <is>
          <t>ZV-0503</t>
        </is>
      </c>
      <c r="E1433" s="85" t="inlineStr">
        <is>
          <t>LOCTITE 305.27 (BELT DRESSING) 12OZ</t>
        </is>
      </c>
      <c r="F1433" s="67" t="inlineStr">
        <is>
          <t>UN</t>
        </is>
      </c>
      <c r="G1433" s="84" t="n">
        <v>1</v>
      </c>
      <c r="H1433" s="57" t="inlineStr">
        <is>
          <t>L00B006517</t>
        </is>
      </c>
      <c r="I1433" s="139" t="n">
        <v>43.25</v>
      </c>
      <c r="J1433" s="142">
        <f>+I1433/G1433</f>
        <v/>
      </c>
      <c r="K1433" s="84" t="inlineStr">
        <is>
          <t>PEN</t>
        </is>
      </c>
    </row>
    <row r="1434">
      <c r="A1434" s="84" t="n">
        <v>31012190</v>
      </c>
      <c r="B1434" s="67" t="inlineStr">
        <is>
          <t>TPSU</t>
        </is>
      </c>
      <c r="C1434" s="67" t="inlineStr">
        <is>
          <t>L004</t>
        </is>
      </c>
      <c r="D1434" s="84" t="inlineStr">
        <is>
          <t>ZV-0503</t>
        </is>
      </c>
      <c r="E1434" s="85" t="inlineStr">
        <is>
          <t>PEGAMENTO TRIZ</t>
        </is>
      </c>
      <c r="F1434" s="67" t="inlineStr">
        <is>
          <t>UN</t>
        </is>
      </c>
      <c r="G1434" s="84" t="n">
        <v>1</v>
      </c>
      <c r="H1434" s="57" t="inlineStr">
        <is>
          <t>G26181281</t>
        </is>
      </c>
      <c r="I1434" s="139" t="n">
        <v>3.64</v>
      </c>
      <c r="J1434" s="142">
        <f>+I1434/G1434</f>
        <v/>
      </c>
      <c r="K1434" s="84" t="inlineStr">
        <is>
          <t>PEN</t>
        </is>
      </c>
    </row>
    <row r="1435">
      <c r="A1435" s="84" t="n">
        <v>31012196</v>
      </c>
      <c r="B1435" s="67" t="inlineStr">
        <is>
          <t>TPSU</t>
        </is>
      </c>
      <c r="C1435" s="67" t="inlineStr">
        <is>
          <t>L004</t>
        </is>
      </c>
      <c r="D1435" s="84" t="inlineStr">
        <is>
          <t>ZV-0503</t>
        </is>
      </c>
      <c r="E1435" s="85" t="inlineStr">
        <is>
          <t>PERMATEX</t>
        </is>
      </c>
      <c r="F1435" s="67" t="inlineStr">
        <is>
          <t>UN</t>
        </is>
      </c>
      <c r="G1435" s="84" t="n">
        <v>11</v>
      </c>
      <c r="H1435" s="57" t="inlineStr">
        <is>
          <t>G16895</t>
        </is>
      </c>
      <c r="I1435" s="139" t="n">
        <v>62.06</v>
      </c>
      <c r="J1435" s="142">
        <f>+I1435/G1435</f>
        <v/>
      </c>
      <c r="K1435" s="84" t="inlineStr">
        <is>
          <t>PEN</t>
        </is>
      </c>
    </row>
    <row r="1436">
      <c r="A1436" s="84" t="n">
        <v>31013845</v>
      </c>
      <c r="B1436" s="67" t="inlineStr">
        <is>
          <t>TPSU</t>
        </is>
      </c>
      <c r="C1436" s="67" t="inlineStr">
        <is>
          <t>L004</t>
        </is>
      </c>
      <c r="D1436" s="84" t="inlineStr">
        <is>
          <t>ZV-0503</t>
        </is>
      </c>
      <c r="E1436" s="85" t="inlineStr">
        <is>
          <t>SILICONE TRANSPARENT SUPERFLEX LOC59575</t>
        </is>
      </c>
      <c r="F1436" s="67" t="inlineStr">
        <is>
          <t>FCO</t>
        </is>
      </c>
      <c r="G1436" s="84" t="n">
        <v>1</v>
      </c>
      <c r="H1436" s="57" t="inlineStr">
        <is>
          <t>LB9EAG7109</t>
        </is>
      </c>
      <c r="I1436" s="139" t="n">
        <v>39.98</v>
      </c>
      <c r="J1436" s="142">
        <f>+I1436/G1436</f>
        <v/>
      </c>
      <c r="K1436" s="84" t="inlineStr">
        <is>
          <t>PEN</t>
        </is>
      </c>
    </row>
    <row r="1437">
      <c r="A1437" s="84" t="n">
        <v>31009431</v>
      </c>
      <c r="B1437" s="67" t="inlineStr">
        <is>
          <t>TPSU</t>
        </is>
      </c>
      <c r="C1437" s="67" t="inlineStr">
        <is>
          <t>L004</t>
        </is>
      </c>
      <c r="D1437" s="84" t="inlineStr">
        <is>
          <t>ZV-0504</t>
        </is>
      </c>
      <c r="E1437" s="85" t="inlineStr">
        <is>
          <t>CLORURO DE AMONIO PA 95-100 FRC 1 KG</t>
        </is>
      </c>
      <c r="F1437" s="67" t="inlineStr">
        <is>
          <t>KG</t>
        </is>
      </c>
      <c r="G1437" s="84" t="n">
        <v>0.235</v>
      </c>
      <c r="H1437" s="57" t="inlineStr">
        <is>
          <t>3384A45D53</t>
        </is>
      </c>
      <c r="I1437" s="139" t="n">
        <v>7.25</v>
      </c>
      <c r="J1437" s="142">
        <f>+I1437/G1437</f>
        <v/>
      </c>
      <c r="K1437" s="84" t="inlineStr">
        <is>
          <t>PEN</t>
        </is>
      </c>
    </row>
    <row r="1438">
      <c r="A1438" s="84" t="n">
        <v>32004090</v>
      </c>
      <c r="B1438" s="67" t="inlineStr">
        <is>
          <t>TPSU</t>
        </is>
      </c>
      <c r="C1438" s="67" t="inlineStr">
        <is>
          <t>L004</t>
        </is>
      </c>
      <c r="D1438" s="84" t="inlineStr">
        <is>
          <t>ZV-0504</t>
        </is>
      </c>
      <c r="E1438" s="85" t="inlineStr">
        <is>
          <t>DESINFECTANTE X 1LT</t>
        </is>
      </c>
      <c r="F1438" s="67" t="inlineStr">
        <is>
          <t>L</t>
        </is>
      </c>
      <c r="G1438" s="84" t="n">
        <v>1</v>
      </c>
      <c r="H1438" s="57" t="inlineStr">
        <is>
          <t>T01 941</t>
        </is>
      </c>
      <c r="I1438" s="139" t="n">
        <v>2.2</v>
      </c>
      <c r="J1438" s="142">
        <f>+I1438/G1438</f>
        <v/>
      </c>
      <c r="K1438" s="84" t="inlineStr">
        <is>
          <t>PEN</t>
        </is>
      </c>
    </row>
    <row r="1439">
      <c r="A1439" s="84" t="n">
        <v>31011666</v>
      </c>
      <c r="B1439" s="67" t="inlineStr">
        <is>
          <t>TPSU</t>
        </is>
      </c>
      <c r="C1439" s="67" t="inlineStr">
        <is>
          <t>L005</t>
        </is>
      </c>
      <c r="D1439" s="84" t="inlineStr">
        <is>
          <t>ZV-0504</t>
        </is>
      </c>
      <c r="E1439" s="85" t="inlineStr">
        <is>
          <t>MEK TINTA NEGRA 5157 - BOT 1 L</t>
        </is>
      </c>
      <c r="F1439" s="67" t="inlineStr">
        <is>
          <t>L</t>
        </is>
      </c>
      <c r="G1439" s="84" t="n">
        <v>2</v>
      </c>
      <c r="H1439" s="57" t="inlineStr">
        <is>
          <t>SIS010319</t>
        </is>
      </c>
      <c r="I1439" s="139" t="n">
        <v>742</v>
      </c>
      <c r="J1439" s="142">
        <f>+I1439/G1439</f>
        <v/>
      </c>
      <c r="K1439" s="84" t="inlineStr">
        <is>
          <t>PEN</t>
        </is>
      </c>
    </row>
    <row r="1440">
      <c r="A1440" s="84" t="n">
        <v>32004760</v>
      </c>
      <c r="B1440" s="67" t="inlineStr">
        <is>
          <t>TPSU</t>
        </is>
      </c>
      <c r="C1440" s="67" t="inlineStr">
        <is>
          <t>L004</t>
        </is>
      </c>
      <c r="D1440" s="84" t="inlineStr">
        <is>
          <t>ZV-0504</t>
        </is>
      </c>
      <c r="E1440" s="85" t="inlineStr">
        <is>
          <t>OXICLEAN</t>
        </is>
      </c>
      <c r="F1440" s="67" t="inlineStr">
        <is>
          <t>GLN</t>
        </is>
      </c>
      <c r="G1440" s="84" t="n">
        <v>1</v>
      </c>
      <c r="H1440" s="57" t="inlineStr">
        <is>
          <t>OP-030775</t>
        </is>
      </c>
      <c r="I1440" s="139" t="n">
        <v>68.52</v>
      </c>
      <c r="J1440" s="142">
        <f>+I1440/G1440</f>
        <v/>
      </c>
      <c r="K1440" s="84" t="inlineStr">
        <is>
          <t>PEN</t>
        </is>
      </c>
    </row>
    <row r="1441">
      <c r="A1441" s="84" t="n">
        <v>32005308</v>
      </c>
      <c r="B1441" s="67" t="inlineStr">
        <is>
          <t>TPSU</t>
        </is>
      </c>
      <c r="C1441" s="67" t="inlineStr">
        <is>
          <t>L004</t>
        </is>
      </c>
      <c r="D1441" s="84" t="inlineStr">
        <is>
          <t>ZV-0504</t>
        </is>
      </c>
      <c r="E1441" s="85" t="inlineStr">
        <is>
          <t>TINTA HP-C6578D COLOR</t>
        </is>
      </c>
      <c r="F1441" s="67" t="inlineStr">
        <is>
          <t>UN</t>
        </is>
      </c>
      <c r="G1441" s="84" t="n">
        <v>1</v>
      </c>
      <c r="H1441" s="57" t="inlineStr">
        <is>
          <t>NUEVO1</t>
        </is>
      </c>
      <c r="I1441" s="139" t="n">
        <v>167.14</v>
      </c>
      <c r="J1441" s="142">
        <f>+I1441/G1441</f>
        <v/>
      </c>
      <c r="K1441" s="84" t="inlineStr">
        <is>
          <t>PEN</t>
        </is>
      </c>
    </row>
    <row r="1442">
      <c r="A1442" s="84" t="n">
        <v>31008189</v>
      </c>
      <c r="B1442" s="67" t="inlineStr">
        <is>
          <t>TPSU</t>
        </is>
      </c>
      <c r="C1442" s="67" t="inlineStr">
        <is>
          <t>L005</t>
        </is>
      </c>
      <c r="D1442" s="84" t="inlineStr">
        <is>
          <t>ZV-PARIH</t>
        </is>
      </c>
      <c r="E1442" s="85" t="inlineStr">
        <is>
          <t>ACIDO SULFURICO IND 90-100 BID 20 KG</t>
        </is>
      </c>
      <c r="F1442" s="67" t="inlineStr">
        <is>
          <t>KG</t>
        </is>
      </c>
      <c r="G1442" s="84" t="n">
        <v>10.8</v>
      </c>
      <c r="H1442" s="57" t="inlineStr">
        <is>
          <t>C-IND98T36</t>
        </is>
      </c>
      <c r="I1442" s="139" t="n">
        <v>88.77</v>
      </c>
      <c r="J1442" s="142">
        <f>+I1442/G1442</f>
        <v/>
      </c>
      <c r="K1442" s="84" t="inlineStr">
        <is>
          <t>PEN</t>
        </is>
      </c>
    </row>
    <row r="1443">
      <c r="A1443" s="84" t="n">
        <v>31009431</v>
      </c>
      <c r="B1443" s="67" t="inlineStr">
        <is>
          <t>TPSU</t>
        </is>
      </c>
      <c r="C1443" s="67" t="inlineStr">
        <is>
          <t>L005</t>
        </is>
      </c>
      <c r="D1443" s="84" t="inlineStr">
        <is>
          <t>ZV-PARIH</t>
        </is>
      </c>
      <c r="E1443" s="85" t="inlineStr">
        <is>
          <t>CLORURO DE AMONIO PA 95-100 FRC 1 KG</t>
        </is>
      </c>
      <c r="F1443" s="67" t="inlineStr">
        <is>
          <t>KG</t>
        </is>
      </c>
      <c r="G1443" s="84" t="n">
        <v>0.525</v>
      </c>
      <c r="H1443" s="57" t="inlineStr">
        <is>
          <t>A382345</t>
        </is>
      </c>
      <c r="I1443" s="139" t="n">
        <v>16.2</v>
      </c>
      <c r="J1443" s="142">
        <f>+I1443/G1443</f>
        <v/>
      </c>
      <c r="K1443" s="84" t="inlineStr">
        <is>
          <t>PEN</t>
        </is>
      </c>
    </row>
    <row r="1444">
      <c r="A1444" s="84" t="n">
        <v>31010949</v>
      </c>
      <c r="B1444" s="67" t="inlineStr">
        <is>
          <t>TPSU</t>
        </is>
      </c>
      <c r="C1444" s="67" t="inlineStr">
        <is>
          <t>L005</t>
        </is>
      </c>
      <c r="D1444" s="84" t="inlineStr">
        <is>
          <t>ZV-PARIH</t>
        </is>
      </c>
      <c r="E1444" s="85" t="inlineStr">
        <is>
          <t>HEXANO PA 90-100 FRC 4 L</t>
        </is>
      </c>
      <c r="F1444" s="67" t="inlineStr">
        <is>
          <t>L</t>
        </is>
      </c>
      <c r="G1444" s="84" t="n">
        <v>6.494</v>
      </c>
      <c r="H1444" s="57" t="inlineStr">
        <is>
          <t>X45C66</t>
        </is>
      </c>
      <c r="I1444" s="139" t="n">
        <v>154.15</v>
      </c>
      <c r="J1444" s="142">
        <f>+I1444/G1444</f>
        <v/>
      </c>
      <c r="K1444" s="84" t="inlineStr">
        <is>
          <t>PEN</t>
        </is>
      </c>
    </row>
    <row r="1445">
      <c r="A1445" s="84" t="n">
        <v>31010955</v>
      </c>
      <c r="B1445" s="84" t="inlineStr">
        <is>
          <t>TPSU</t>
        </is>
      </c>
      <c r="C1445" s="84" t="inlineStr">
        <is>
          <t>L005</t>
        </is>
      </c>
      <c r="D1445" s="84" t="inlineStr">
        <is>
          <t>ZV-PARIH</t>
        </is>
      </c>
      <c r="E1445" s="85" t="inlineStr">
        <is>
          <t>HIDROXIDO SODIO 1N AMPOLLASA:31027848</t>
        </is>
      </c>
      <c r="F1445" s="67" t="inlineStr">
        <is>
          <t>UN</t>
        </is>
      </c>
      <c r="G1445" s="84" t="n">
        <v>2</v>
      </c>
      <c r="H1445" s="84" t="inlineStr">
        <is>
          <t>HC856384</t>
        </is>
      </c>
      <c r="I1445" s="139" t="n">
        <v>0</v>
      </c>
      <c r="J1445" s="142">
        <f>+I1445/G1445</f>
        <v/>
      </c>
      <c r="K1445" s="84" t="inlineStr">
        <is>
          <t>PEN</t>
        </is>
      </c>
    </row>
    <row r="1446">
      <c r="A1446" s="84" t="n">
        <v>30000599</v>
      </c>
      <c r="B1446" s="67" t="inlineStr">
        <is>
          <t>TPSU</t>
        </is>
      </c>
      <c r="C1446" s="67" t="inlineStr">
        <is>
          <t>L004</t>
        </is>
      </c>
      <c r="D1446" s="84" t="inlineStr">
        <is>
          <t>ZV-PARIH</t>
        </is>
      </c>
      <c r="E1446" s="85" t="inlineStr">
        <is>
          <t>MOBILTAC 275 NC X 35LBS</t>
        </is>
      </c>
      <c r="F1446" s="67" t="inlineStr">
        <is>
          <t>BAL</t>
        </is>
      </c>
      <c r="G1446" s="84" t="n">
        <v>5</v>
      </c>
      <c r="H1446" s="57" t="inlineStr">
        <is>
          <t>00709268</t>
        </is>
      </c>
      <c r="I1446" s="139" t="n">
        <v>2466.37</v>
      </c>
      <c r="J1446" s="142">
        <f>+I1446/G1446</f>
        <v/>
      </c>
      <c r="K1446" s="84" t="inlineStr">
        <is>
          <t>PEN</t>
        </is>
      </c>
    </row>
  </sheetData>
  <autoFilter ref="C2:K1446">
    <sortState ref="C3:K1446">
      <sortCondition ref="D2:D14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Ortega</dc:creator>
  <dcterms:created xmlns:dcterms="http://purl.org/dc/terms/" xmlns:xsi="http://www.w3.org/2001/XMLSchema-instance" xsi:type="dcterms:W3CDTF">2021-11-24T23:10:23Z</dcterms:created>
  <dcterms:modified xmlns:dcterms="http://purl.org/dc/terms/" xmlns:xsi="http://www.w3.org/2001/XMLSchema-instance" xsi:type="dcterms:W3CDTF">2026-08-25T15:55:41Z</dcterms:modified>
  <cp:lastModifiedBy>Brayan Dario Cardenas Silva</cp:lastModifiedBy>
  <cp:lastPrinted>2026-07-13T22:05:13Z</cp:lastPrinted>
</cp:coreProperties>
</file>